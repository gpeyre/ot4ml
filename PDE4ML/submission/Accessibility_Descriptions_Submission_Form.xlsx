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6"/>
  <workbookPr codeName="ThisWorkbook"/>
  <mc:AlternateContent xmlns:mc="http://schemas.openxmlformats.org/markup-compatibility/2006">
    <mc:Choice Requires="x15">
      <x15ac:absPath xmlns:x15ac="http://schemas.microsoft.com/office/spreadsheetml/2010/11/ac" url="https://cambridgeorg.sharepoint.com/sites/DigitalAccessibilityCUP/Shared Documents/Journals Content Accessibility/"/>
    </mc:Choice>
  </mc:AlternateContent>
  <xr:revisionPtr revIDLastSave="485" documentId="8_{1128E416-12C8-4E3B-AF38-F6F21D8E8B89}" xr6:coauthVersionLast="47" xr6:coauthVersionMax="47" xr10:uidLastSave="{361D5F88-B846-4BAC-AEAE-FC61E28981D6}"/>
  <bookViews>
    <workbookView xWindow="-110" yWindow="-110" windowWidth="19420" windowHeight="11500" xr2:uid="{00000000-000D-0000-FFFF-FFFF00000000}"/>
  </bookViews>
  <sheets>
    <sheet name="Instructions" sheetId="5" r:id="rId1"/>
    <sheet name="Images" sheetId="4" r:id="rId2"/>
    <sheet name="Icons_InlineGraphics" sheetId="1" r:id="rId3"/>
    <sheet name="Videos_AudioFiles" sheetId="2" r:id="rId4"/>
  </sheets>
  <definedNames>
    <definedName name="Complex_image" localSheetId="1">Images!#REF!</definedName>
    <definedName name="Decorative_image" localSheetId="1">Images!$C$113</definedName>
    <definedName name="Figure_Table_group" localSheetId="1">Images!$C$115</definedName>
    <definedName name="Image_text" localSheetId="1">Images!$C$114</definedName>
    <definedName name="media_text_alt" localSheetId="3">Videos_AudioFiles!#REF!</definedName>
    <definedName name="media_trans" localSheetId="3">Videos_AudioFiles!$B$64</definedName>
    <definedName name="_xlnm.Print_Area" localSheetId="0">Instructions!$A$1:$D$38</definedName>
    <definedName name="Simple_image" localSheetId="1">Images!$C$111</definedName>
    <definedName name="vid_aud_desc" localSheetId="3">Videos_AudioFiles!$B$65</definedName>
    <definedName name="vid_no_aud" localSheetId="3">Videos_AudioFiles!$B$66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4" l="1"/>
  <c r="E2" i="4"/>
  <c r="G2" i="4"/>
  <c r="G3" i="4"/>
  <c r="G4" i="4"/>
  <c r="E3"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D2" i="2" l="1"/>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C2" i="1"/>
  <c r="C101" i="1" l="1"/>
  <c r="C100" i="1"/>
  <c r="C99" i="1"/>
  <c r="C98" i="1"/>
  <c r="C97" i="1"/>
  <c r="C96" i="1"/>
  <c r="C95" i="1"/>
  <c r="C94" i="1"/>
  <c r="C93" i="1"/>
  <c r="C92" i="1"/>
  <c r="C91" i="1"/>
  <c r="C88" i="1"/>
  <c r="C87" i="1"/>
  <c r="C86" i="1"/>
  <c r="C85" i="1"/>
  <c r="C84" i="1"/>
  <c r="C83" i="1"/>
  <c r="C82" i="1"/>
  <c r="C81" i="1"/>
  <c r="C80" i="1"/>
  <c r="C79" i="1"/>
  <c r="C78" i="1"/>
  <c r="C77" i="1"/>
  <c r="C76" i="1"/>
  <c r="C75" i="1"/>
  <c r="C74" i="1"/>
  <c r="C73" i="1"/>
  <c r="C72" i="1"/>
  <c r="C71" i="1"/>
  <c r="C89" i="1"/>
  <c r="C70" i="1"/>
  <c r="C69" i="1"/>
  <c r="C68" i="1"/>
  <c r="C67" i="1"/>
  <c r="C66" i="1"/>
  <c r="C65" i="1"/>
  <c r="C64" i="1"/>
  <c r="C63" i="1"/>
  <c r="C62" i="1"/>
  <c r="C61" i="1"/>
  <c r="C60" i="1"/>
  <c r="C59" i="1"/>
  <c r="C58" i="1"/>
  <c r="C57" i="1"/>
  <c r="C56" i="1"/>
  <c r="C55" i="1"/>
  <c r="C54" i="1"/>
  <c r="C53" i="1"/>
  <c r="C52" i="1"/>
  <c r="C51" i="1"/>
  <c r="G9" i="4"/>
  <c r="G8" i="4"/>
  <c r="G7" i="4"/>
  <c r="G6" i="4"/>
  <c r="G5" i="4"/>
  <c r="E4" i="4"/>
  <c r="E5" i="4"/>
  <c r="E6" i="4"/>
  <c r="E7" i="4"/>
  <c r="E8" i="4"/>
  <c r="E10" i="4"/>
  <c r="C4" i="1" l="1"/>
  <c r="C5" i="1"/>
  <c r="C7" i="1"/>
  <c r="C12" i="1"/>
  <c r="C13" i="1"/>
  <c r="C15" i="1"/>
  <c r="C20" i="1"/>
  <c r="C21" i="1"/>
  <c r="C23" i="1"/>
  <c r="C28" i="1"/>
  <c r="C29" i="1"/>
  <c r="C31" i="1"/>
  <c r="C36" i="1"/>
  <c r="C37" i="1"/>
  <c r="C39" i="1"/>
  <c r="C44" i="1"/>
  <c r="C45" i="1"/>
  <c r="C47" i="1"/>
  <c r="C6" i="1"/>
  <c r="C8" i="1"/>
  <c r="C9" i="1"/>
  <c r="C10" i="1"/>
  <c r="C11" i="1"/>
  <c r="C14" i="1"/>
  <c r="C16" i="1"/>
  <c r="C17" i="1"/>
  <c r="C18" i="1"/>
  <c r="C19" i="1"/>
  <c r="C22" i="1"/>
  <c r="C24" i="1"/>
  <c r="C25" i="1"/>
  <c r="C26" i="1"/>
  <c r="C27" i="1"/>
  <c r="C30" i="1"/>
  <c r="C32" i="1"/>
  <c r="C33" i="1"/>
  <c r="C34" i="1"/>
  <c r="C35" i="1"/>
  <c r="C38" i="1"/>
  <c r="C40" i="1"/>
  <c r="C41" i="1"/>
  <c r="C42" i="1"/>
  <c r="C43" i="1"/>
  <c r="C46" i="1"/>
  <c r="C48" i="1"/>
  <c r="C49" i="1"/>
  <c r="C50" i="1"/>
  <c r="C90" i="1"/>
  <c r="C3" i="1" l="1"/>
</calcChain>
</file>

<file path=xl/sharedStrings.xml><?xml version="1.0" encoding="utf-8"?>
<sst xmlns="http://schemas.openxmlformats.org/spreadsheetml/2006/main" count="98" uniqueCount="77">
  <si>
    <t>Please read the guidance on writing image and media descriptions on our Cambridge Core before completing this form.</t>
  </si>
  <si>
    <t>How to use</t>
  </si>
  <si>
    <t>Each 'Images' or 'Icons_InlineGraphics' sheet allows for details of 100 images or icons/inline graphics to be added.</t>
  </si>
  <si>
    <t>NOTE: Excel cannot differentiate between 1.1 and 1.10. Please include 'Fig' (or equivalent), e.g. 'Fig 1.1' / 'Fig 1.10',  or place a space after the point (1. 1. / 1. 10)</t>
  </si>
  <si>
    <t>On each sheet, clicking on a column header shows help hints on requirements.</t>
  </si>
  <si>
    <t>Please do not rename this file and if using one of our OPRS systems, upload the file under the Accessibility Descriptions Submission 
Form designation.</t>
  </si>
  <si>
    <t xml:space="preserve">Please note: Alt text should be in the same language as the main text of the article. </t>
  </si>
  <si>
    <t>Images</t>
  </si>
  <si>
    <t>Please use this form to submit the descriptions for the images in your work. This includes anything captured as an image, including figures, graphs, charts, diagrams, maps, and linguistics trees. This also includes all tables, as these are displayed as images.</t>
  </si>
  <si>
    <t>All images must have alt-text. The alt-text is a short description, which must not exceed 250 characters. If you do not provide alt-text, this will be machine generated for you.</t>
  </si>
  <si>
    <t xml:space="preserve">Some images require a long description in addition to alt-text (see the guidance on Cambridge Core for more information).  </t>
  </si>
  <si>
    <t>The final result should be a description which enables a non-sighted reader to access the same information and understanding as a sighted reader. If a long description needs to include a simple table, this should be submitted as a word document following naming convention - Table_1.1_long_description.</t>
  </si>
  <si>
    <t>The Images tab</t>
  </si>
  <si>
    <t xml:space="preserve">Please select the 'Type' of image.  If a cell is greyed-out, nothing needs to be entered into it. </t>
  </si>
  <si>
    <t>Type</t>
  </si>
  <si>
    <t>Explanation</t>
  </si>
  <si>
    <t xml:space="preserve">Image (alt-text and/or long description)    </t>
  </si>
  <si>
    <t xml:space="preserve">An image that is not already fully described by the surrounding text/caption (see below). If alt-text alone is not sufficient to describe the image, then a long description should also be provided. In this case, the alt-text must end with 'See long description.' </t>
  </si>
  <si>
    <t xml:space="preserve">Image fully described in text/caption       </t>
  </si>
  <si>
    <t>The text surrounding the image and/or the caption fully describes the content of the image. No alt-text to add (the alt-text is greyed out).</t>
  </si>
  <si>
    <t>Table (alt-text and long description)</t>
  </si>
  <si>
    <t>Tables require both alt-text and long description so they are sufficiently described.</t>
  </si>
  <si>
    <r>
      <rPr>
        <sz val="12"/>
        <color rgb="FF000000"/>
        <rFont val="Calibri"/>
      </rPr>
      <t>Figure</t>
    </r>
    <r>
      <rPr>
        <sz val="12"/>
        <color rgb="FFFF0000"/>
        <rFont val="Calibri"/>
      </rPr>
      <t xml:space="preserve"> </t>
    </r>
    <r>
      <rPr>
        <sz val="12"/>
        <color rgb="FF000000"/>
        <rFont val="Calibri"/>
      </rPr>
      <t xml:space="preserve">group (see instructions)  </t>
    </r>
  </si>
  <si>
    <t>This is when a set of related images or tables are grouped together under a main caption that refers to the set. If a long description is required to describe the group as a whole, please select this 'Type'.
Each of the individual images that are part of the group must be entered in the lines beneath this.  These images must have a 'Type' of 'Image (alt-text and/or long description)' as the 'Figure group...' long description describes these images.
If a long description is not required for the whole group, please just enter the individual images as normal.</t>
  </si>
  <si>
    <t>Decorative image</t>
  </si>
  <si>
    <t>An image that has no informational purpose and is a design feature only so no alt-text to add (the alt-text is greyed out).</t>
  </si>
  <si>
    <t>The Icons_InlineGraphics tab</t>
  </si>
  <si>
    <t>If icons or inline graphics are used, it is likely that the same image will be used repeatedly through a book. Please use this tab to capture and paste each image once, and enter the alt-text required.</t>
  </si>
  <si>
    <t>Media Files</t>
  </si>
  <si>
    <t>Please use this form to submit the descriptions and details of accompanying files for videos and audio files in your work.</t>
  </si>
  <si>
    <t>All videos and audio files must have alt-text. The alt-text is a short description, which must not exceed 250 characters.</t>
  </si>
  <si>
    <t>All videos and audio files must have closed captions. All videos must have two files provided - 1) A standard video, and 2) A video with audio description. The only exception is for videos where the main audio track includes all information: then an audio description is not required. A transcript is always optional for videos, but will be used if provided. All audio files require a transcript.</t>
  </si>
  <si>
    <t>The Videos_AudioFiles tab</t>
  </si>
  <si>
    <t>Please select the 'Type' of media.  If a cell is greyed-out, nothing needs to be entered into it.</t>
  </si>
  <si>
    <t>Audio file with captions and transcript</t>
  </si>
  <si>
    <t>Audio has alt-text, closed caption (VTT) file(s) and a descriptive transcript.</t>
  </si>
  <si>
    <t>Captioned standard video with accompanying audio described video</t>
  </si>
  <si>
    <t>Video 1 has alt-text and closed captions (VTT) file(s). Video 2 has alt-text, closed captions (VTT) file(s) and an audio description.</t>
  </si>
  <si>
    <t>Captioned video with everything included in native audio track</t>
  </si>
  <si>
    <t xml:space="preserve">Video has alt-text and closed caption (VTT) file(s).  Please add 'All description included in native audio track' in the 'Caption'. </t>
  </si>
  <si>
    <t>Image type</t>
  </si>
  <si>
    <t>Image Number</t>
  </si>
  <si>
    <t>alt-text</t>
  </si>
  <si>
    <t>alt-text count</t>
  </si>
  <si>
    <t>Long description</t>
  </si>
  <si>
    <t>desc. count</t>
  </si>
  <si>
    <t>Example 1</t>
  </si>
  <si>
    <t>Image (Alt-text and/or Long Description)</t>
  </si>
  <si>
    <t>A barn owl in flight, photographed from beneath. Its body and outstretched wings are white, contrasted against the black night sky.</t>
  </si>
  <si>
    <t>Example 2</t>
  </si>
  <si>
    <t>A photograph of a group of protesters holding placards in front of a mural. See long description.</t>
  </si>
  <si>
    <t>A photograph of a group of approximately ten women standing in front of a mural. They are holding handmade placards with slogans such as 'End the violence' and 'Why don't you care?'. The colourful painted mural shows a black woman with long braided hair and a flower crown. The woman in the centre of the crowd has her fist raised. She is wearing a t-shirt that reads 'Feminist'.</t>
  </si>
  <si>
    <t>Example 3</t>
  </si>
  <si>
    <t>Image fully described in text/caption</t>
  </si>
  <si>
    <t>Example 4 (group)</t>
  </si>
  <si>
    <t>Figure group (see instructions)</t>
  </si>
  <si>
    <t>The mosaic is a white rectangle with a black border and black motifs. It takes up the floor of a small vestibule leading to the house's atrium. A large striped rudder is in the centre, taking up the entire length of the mosic. A trident is placed diagonally behind it. A small bird sits atop the rudder. Either side of the rudder are two fish, possibly dolphins, swimming downwards. In the top right-hand corner, a creature with the body and head of a horse and the tail of a sea dragon swims upwards. The mosaic appears to have been partially restored and there is a small patch missing on the right-hand side.</t>
  </si>
  <si>
    <t>Example 4.1</t>
  </si>
  <si>
    <t>A black and white floor mosaic. It is dirty and partly restored. It features a rudder and trident in the centre and is surrounded by two fish, possibly dolphins, and a literal seahorse with a horse body and the tail of a sea dragon.</t>
  </si>
  <si>
    <t>Example 4.2</t>
  </si>
  <si>
    <t>A close-up of the top right-hand corner of the mosaic, showing a creature with a horse body and the curly tail of a sea dragon. It is made of small black tile pieces on a white background.</t>
  </si>
  <si>
    <t>Example 5</t>
  </si>
  <si>
    <t>Example 6 (table)</t>
  </si>
  <si>
    <t>Table (Alt-text and Long Description)</t>
  </si>
  <si>
    <t>Table showing answers to survey questions after the Agile Project Management course. See long description</t>
  </si>
  <si>
    <t>Seven survey respondents are labelled from A to G and their answers to five statements are shown, describing how far they agree or disagree. The statements were, I learnt something new, the tutor was engaging, I would recommend the course, I enjoyed the course, and I can apply what I learnt in my role. Four respondents answered positively to all the statements, selecting either Agree or Strongly Agree, one answered with either positive or neutral answers, and two answered all the statements with negative answers, selecting either Disagree or Strongly Disagree, plus one Neutral</t>
  </si>
  <si>
    <t>Image no.</t>
  </si>
  <si>
    <t>Figure</t>
  </si>
  <si>
    <t>Table</t>
  </si>
  <si>
    <t>Other</t>
  </si>
  <si>
    <t>Copy of icon/graphic</t>
  </si>
  <si>
    <t>Media file no.</t>
  </si>
  <si>
    <t>alt-text 
count</t>
  </si>
  <si>
    <t>Media file name</t>
  </si>
  <si>
    <t>VTT caption file(s)</t>
  </si>
  <si>
    <t>Audio description file (video only)</t>
  </si>
  <si>
    <t>Transcript file(optional for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</si>
</sst>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rgb="FF000000"/>
      <name val="Arial"/>
      <family val="2"/>
    </font>
    <font>
      <b/>
      <sz val="11"/>
      <color rgb="FF000000"/>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u/>
      <sz val="12"/>
      <color theme="1"/>
      <name val="Calibri"/>
      <family val="2"/>
      <scheme val="minor"/>
    </font>
    <font>
      <sz val="14"/>
      <color theme="1"/>
      <name val="Calibri"/>
      <family val="2"/>
      <scheme val="minor"/>
    </font>
    <font>
      <b/>
      <sz val="14"/>
      <color theme="1"/>
      <name val="Calibri"/>
      <family val="2"/>
      <scheme val="minor"/>
    </font>
    <font>
      <sz val="12"/>
      <name val="Calibri"/>
      <family val="2"/>
      <scheme val="minor"/>
    </font>
    <font>
      <sz val="11"/>
      <color rgb="FF000000"/>
      <name val="Calibri"/>
      <scheme val="minor"/>
    </font>
    <font>
      <sz val="12"/>
      <color rgb="FF000000"/>
      <name val="Calibri"/>
    </font>
    <font>
      <sz val="12"/>
      <color rgb="FFFF0000"/>
      <name val="Calibri"/>
    </font>
    <font>
      <sz val="12"/>
      <color theme="1"/>
      <name val="Calibri"/>
    </font>
    <font>
      <sz val="11"/>
      <color rgb="FF242424"/>
      <name val="Calibri"/>
      <scheme val="minor"/>
    </font>
    <font>
      <sz val="11"/>
      <color rgb="FF242424"/>
      <name val="Calibri   "/>
    </font>
    <font>
      <b/>
      <sz val="11"/>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14996795556505021"/>
        <bgColor indexed="64"/>
      </patternFill>
    </fill>
    <fill>
      <patternFill patternType="solid">
        <fgColor theme="4" tint="0.59996337778862885"/>
        <bgColor indexed="64"/>
      </patternFill>
    </fill>
    <fill>
      <patternFill patternType="solid">
        <fgColor theme="4" tint="0.59999389629810485"/>
        <bgColor indexed="64"/>
      </patternFill>
    </fill>
  </fills>
  <borders count="38">
    <border>
      <left/>
      <right/>
      <top/>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theme="0" tint="-0.24994659260841701"/>
      </bottom>
      <diagonal/>
    </border>
    <border>
      <left/>
      <right style="medium">
        <color indexed="64"/>
      </right>
      <top/>
      <bottom style="thin">
        <color theme="0" tint="-0.24994659260841701"/>
      </bottom>
      <diagonal/>
    </border>
    <border>
      <left style="medium">
        <color indexed="64"/>
      </left>
      <right/>
      <top/>
      <bottom style="thin">
        <color theme="0" tint="-0.14996795556505021"/>
      </bottom>
      <diagonal/>
    </border>
    <border>
      <left/>
      <right style="medium">
        <color indexed="64"/>
      </right>
      <top/>
      <bottom style="thin">
        <color theme="0" tint="-0.14996795556505021"/>
      </bottom>
      <diagonal/>
    </border>
    <border>
      <left style="medium">
        <color indexed="64"/>
      </left>
      <right/>
      <top style="thin">
        <color theme="0" tint="-0.14996795556505021"/>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medium">
        <color rgb="FF000000"/>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medium">
        <color indexed="64"/>
      </left>
      <right/>
      <top style="thin">
        <color theme="0" tint="-0.14996795556505021"/>
      </top>
      <bottom style="medium">
        <color rgb="FF000000"/>
      </bottom>
      <diagonal/>
    </border>
    <border>
      <left/>
      <right style="medium">
        <color indexed="64"/>
      </right>
      <top style="thin">
        <color theme="0" tint="-0.14996795556505021"/>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cellStyleXfs>
  <cellXfs count="72">
    <xf numFmtId="0" fontId="0" fillId="0" borderId="0" xfId="0"/>
    <xf numFmtId="0" fontId="0" fillId="0" borderId="0" xfId="0" applyAlignment="1">
      <alignment vertical="top"/>
    </xf>
    <xf numFmtId="0" fontId="0" fillId="0" borderId="3" xfId="0" applyBorder="1" applyAlignment="1" applyProtection="1">
      <alignment vertical="top"/>
      <protection hidden="1"/>
    </xf>
    <xf numFmtId="0" fontId="0" fillId="0" borderId="3" xfId="0" applyBorder="1" applyAlignment="1" applyProtection="1">
      <alignment vertical="top" wrapText="1"/>
      <protection locked="0"/>
    </xf>
    <xf numFmtId="0" fontId="0" fillId="0" borderId="3" xfId="0" applyBorder="1" applyAlignment="1" applyProtection="1">
      <alignment vertical="top" wrapText="1"/>
      <protection hidden="1"/>
    </xf>
    <xf numFmtId="0" fontId="2" fillId="0" borderId="0" xfId="0" applyFont="1" applyAlignment="1" applyProtection="1">
      <alignment vertical="top" wrapText="1"/>
      <protection hidden="1"/>
    </xf>
    <xf numFmtId="0" fontId="0" fillId="0" borderId="0" xfId="0" applyAlignment="1" applyProtection="1">
      <alignment vertical="top" wrapText="1"/>
      <protection hidden="1"/>
    </xf>
    <xf numFmtId="0" fontId="3" fillId="0" borderId="0" xfId="0" applyFont="1" applyAlignment="1" applyProtection="1">
      <alignment vertical="top" wrapText="1"/>
      <protection hidden="1"/>
    </xf>
    <xf numFmtId="0" fontId="1" fillId="2" borderId="1" xfId="0" applyFont="1" applyFill="1" applyBorder="1" applyAlignment="1">
      <alignment vertical="top" wrapText="1"/>
    </xf>
    <xf numFmtId="0" fontId="1" fillId="2" borderId="1" xfId="0" applyFont="1" applyFill="1" applyBorder="1" applyAlignment="1" applyProtection="1">
      <alignment vertical="top" wrapText="1"/>
      <protection locked="0"/>
    </xf>
    <xf numFmtId="0" fontId="0" fillId="0" borderId="0" xfId="0" applyAlignment="1" applyProtection="1">
      <alignment vertical="top"/>
      <protection hidden="1"/>
    </xf>
    <xf numFmtId="0" fontId="0" fillId="3" borderId="3" xfId="0" applyFill="1" applyBorder="1" applyAlignment="1" applyProtection="1">
      <alignment vertical="top"/>
      <protection hidden="1"/>
    </xf>
    <xf numFmtId="0" fontId="1" fillId="2" borderId="1" xfId="0" applyFont="1" applyFill="1" applyBorder="1" applyAlignment="1">
      <alignment vertical="top"/>
    </xf>
    <xf numFmtId="0" fontId="0" fillId="0" borderId="0" xfId="0" applyAlignment="1" applyProtection="1">
      <alignment vertical="top" wrapText="1"/>
      <protection locked="0"/>
    </xf>
    <xf numFmtId="0" fontId="0" fillId="4" borderId="0" xfId="0" applyFill="1" applyAlignment="1">
      <alignment vertical="top" wrapText="1"/>
    </xf>
    <xf numFmtId="0" fontId="7" fillId="4" borderId="0" xfId="0" applyFont="1" applyFill="1" applyAlignment="1">
      <alignment vertical="top"/>
    </xf>
    <xf numFmtId="0" fontId="8" fillId="0" borderId="4" xfId="0" applyFont="1" applyBorder="1" applyAlignment="1">
      <alignment vertical="top" wrapText="1"/>
    </xf>
    <xf numFmtId="0" fontId="0" fillId="0" borderId="5" xfId="0" applyBorder="1" applyAlignment="1">
      <alignment vertical="top" wrapText="1"/>
    </xf>
    <xf numFmtId="0" fontId="4" fillId="0" borderId="6" xfId="0" applyFont="1" applyBorder="1" applyAlignment="1">
      <alignment vertical="top"/>
    </xf>
    <xf numFmtId="0" fontId="0" fillId="0" borderId="7" xfId="0" applyBorder="1" applyAlignment="1">
      <alignment vertical="top" wrapText="1"/>
    </xf>
    <xf numFmtId="0" fontId="5" fillId="0" borderId="6" xfId="0" applyFont="1" applyBorder="1" applyAlignment="1">
      <alignment vertical="top"/>
    </xf>
    <xf numFmtId="0" fontId="6" fillId="0" borderId="8" xfId="0" applyFont="1" applyBorder="1" applyAlignment="1">
      <alignment vertical="top" wrapText="1"/>
    </xf>
    <xf numFmtId="0" fontId="6" fillId="0" borderId="9" xfId="0" applyFont="1" applyBorder="1" applyAlignment="1">
      <alignment vertical="top"/>
    </xf>
    <xf numFmtId="0" fontId="4" fillId="4" borderId="0" xfId="0" applyFont="1" applyFill="1" applyAlignment="1">
      <alignment vertical="top" wrapText="1"/>
    </xf>
    <xf numFmtId="0" fontId="4" fillId="0" borderId="16" xfId="0" applyFont="1" applyBorder="1" applyAlignment="1">
      <alignment vertical="top"/>
    </xf>
    <xf numFmtId="0" fontId="4" fillId="0" borderId="17" xfId="0" quotePrefix="1" applyFont="1" applyBorder="1" applyAlignment="1">
      <alignment vertical="top" wrapText="1"/>
    </xf>
    <xf numFmtId="0" fontId="4" fillId="0" borderId="19" xfId="0" quotePrefix="1" applyFont="1" applyBorder="1" applyAlignment="1">
      <alignment vertical="top" wrapText="1"/>
    </xf>
    <xf numFmtId="0" fontId="4" fillId="0" borderId="10" xfId="0" applyFont="1" applyBorder="1" applyAlignment="1">
      <alignment vertical="top"/>
    </xf>
    <xf numFmtId="0" fontId="0" fillId="0" borderId="2" xfId="0" applyBorder="1" applyAlignment="1" applyProtection="1">
      <alignment vertical="top" wrapText="1"/>
      <protection locked="0"/>
    </xf>
    <xf numFmtId="0" fontId="9" fillId="0" borderId="17" xfId="0" quotePrefix="1" applyFont="1" applyBorder="1" applyAlignment="1">
      <alignment vertical="top" wrapText="1"/>
    </xf>
    <xf numFmtId="0" fontId="9" fillId="0" borderId="15" xfId="0" quotePrefix="1" applyFont="1" applyBorder="1" applyAlignment="1">
      <alignment vertical="top" wrapText="1"/>
    </xf>
    <xf numFmtId="0" fontId="9" fillId="0" borderId="11" xfId="0" quotePrefix="1" applyFont="1" applyBorder="1" applyAlignment="1">
      <alignment vertical="top" wrapText="1"/>
    </xf>
    <xf numFmtId="0" fontId="0" fillId="5" borderId="0" xfId="0" applyFill="1" applyAlignment="1" applyProtection="1">
      <alignment vertical="top" wrapText="1"/>
      <protection locked="0"/>
    </xf>
    <xf numFmtId="0" fontId="0" fillId="0" borderId="21" xfId="0" applyBorder="1" applyAlignment="1" applyProtection="1">
      <alignment vertical="top" wrapText="1"/>
      <protection locked="0"/>
    </xf>
    <xf numFmtId="0" fontId="0" fillId="0" borderId="22" xfId="0" applyBorder="1" applyAlignment="1" applyProtection="1">
      <alignment vertical="top" wrapText="1"/>
      <protection hidden="1"/>
    </xf>
    <xf numFmtId="0" fontId="0" fillId="0" borderId="25" xfId="0" applyBorder="1" applyAlignment="1" applyProtection="1">
      <alignment vertical="top" wrapText="1"/>
      <protection locked="0"/>
    </xf>
    <xf numFmtId="0" fontId="0" fillId="0" borderId="26" xfId="0" applyBorder="1" applyAlignment="1" applyProtection="1">
      <alignment vertical="top" wrapText="1"/>
      <protection hidden="1"/>
    </xf>
    <xf numFmtId="0" fontId="13" fillId="0" borderId="14" xfId="0" applyFont="1" applyBorder="1" applyAlignment="1">
      <alignment vertical="top"/>
    </xf>
    <xf numFmtId="0" fontId="4" fillId="0" borderId="18" xfId="0" applyFont="1" applyBorder="1" applyAlignment="1">
      <alignment vertical="top" wrapText="1"/>
    </xf>
    <xf numFmtId="0" fontId="4" fillId="0" borderId="27" xfId="0" applyFont="1" applyBorder="1" applyAlignment="1">
      <alignment vertical="top" wrapText="1"/>
    </xf>
    <xf numFmtId="0" fontId="4" fillId="0" borderId="28" xfId="0" quotePrefix="1" applyFont="1" applyBorder="1" applyAlignment="1">
      <alignment vertical="top" wrapText="1"/>
    </xf>
    <xf numFmtId="0" fontId="10" fillId="0" borderId="23" xfId="0" applyFont="1" applyBorder="1" applyAlignment="1">
      <alignment vertical="top" wrapText="1"/>
    </xf>
    <xf numFmtId="0" fontId="14" fillId="0" borderId="23" xfId="0" applyFont="1" applyBorder="1" applyAlignment="1">
      <alignment wrapText="1"/>
    </xf>
    <xf numFmtId="0" fontId="9" fillId="0" borderId="7" xfId="0" quotePrefix="1" applyFont="1" applyBorder="1" applyAlignment="1">
      <alignment vertical="top" wrapText="1"/>
    </xf>
    <xf numFmtId="0" fontId="0" fillId="0" borderId="25" xfId="0" applyBorder="1" applyAlignment="1" applyProtection="1">
      <alignment vertical="top" wrapText="1"/>
      <protection hidden="1"/>
    </xf>
    <xf numFmtId="0" fontId="0" fillId="0" borderId="29" xfId="0" applyBorder="1" applyAlignment="1" applyProtection="1">
      <alignment vertical="top" wrapText="1"/>
      <protection locked="0"/>
    </xf>
    <xf numFmtId="0" fontId="0" fillId="0" borderId="24" xfId="0" applyBorder="1" applyAlignment="1" applyProtection="1">
      <alignment vertical="top" wrapText="1"/>
      <protection locked="0"/>
    </xf>
    <xf numFmtId="0" fontId="0" fillId="0" borderId="30" xfId="0" applyBorder="1" applyAlignment="1" applyProtection="1">
      <alignment vertical="top" wrapText="1"/>
      <protection locked="0"/>
    </xf>
    <xf numFmtId="0" fontId="1" fillId="2" borderId="31" xfId="0" applyFont="1" applyFill="1" applyBorder="1" applyAlignment="1">
      <alignment vertical="top" wrapText="1"/>
    </xf>
    <xf numFmtId="0" fontId="0" fillId="0" borderId="32" xfId="0" applyBorder="1" applyAlignment="1" applyProtection="1">
      <alignment vertical="top" wrapText="1"/>
      <protection hidden="1"/>
    </xf>
    <xf numFmtId="0" fontId="4" fillId="0" borderId="33" xfId="0" applyFont="1" applyBorder="1" applyAlignment="1">
      <alignment vertical="top"/>
    </xf>
    <xf numFmtId="0" fontId="0" fillId="0" borderId="35" xfId="0" applyBorder="1" applyAlignment="1">
      <alignment vertical="top" wrapText="1"/>
    </xf>
    <xf numFmtId="0" fontId="4" fillId="0" borderId="20" xfId="0" applyFont="1" applyBorder="1" applyAlignment="1">
      <alignment vertical="top"/>
    </xf>
    <xf numFmtId="0" fontId="9" fillId="0" borderId="36" xfId="0" quotePrefix="1" applyFont="1" applyBorder="1" applyAlignment="1">
      <alignment vertical="top" wrapText="1"/>
    </xf>
    <xf numFmtId="0" fontId="9" fillId="0" borderId="37" xfId="0" quotePrefix="1" applyFont="1" applyBorder="1" applyAlignment="1">
      <alignment vertical="top" wrapText="1"/>
    </xf>
    <xf numFmtId="0" fontId="8" fillId="0" borderId="34" xfId="0" applyFont="1" applyBorder="1" applyAlignment="1">
      <alignment vertical="top" wrapText="1"/>
    </xf>
    <xf numFmtId="0" fontId="16" fillId="0" borderId="0" xfId="0" applyFont="1" applyAlignment="1">
      <alignment vertical="top"/>
    </xf>
    <xf numFmtId="0" fontId="0" fillId="0" borderId="26" xfId="0" applyBorder="1" applyAlignment="1" applyProtection="1">
      <alignment vertical="top" wrapText="1"/>
      <protection locked="0"/>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4" fillId="0" borderId="20" xfId="0" applyFont="1" applyBorder="1" applyAlignment="1">
      <alignment horizontal="left" vertical="top" wrapText="1"/>
    </xf>
    <xf numFmtId="0" fontId="4" fillId="0" borderId="36" xfId="0" applyFont="1" applyBorder="1" applyAlignment="1">
      <alignment horizontal="lef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15" fillId="0" borderId="20" xfId="0" applyFont="1" applyBorder="1" applyAlignment="1">
      <alignment wrapText="1"/>
    </xf>
    <xf numFmtId="0" fontId="15" fillId="0" borderId="36" xfId="0" applyFont="1" applyBorder="1" applyAlignment="1">
      <alignment wrapText="1"/>
    </xf>
    <xf numFmtId="0" fontId="0" fillId="0" borderId="7" xfId="0" applyBorder="1" applyAlignment="1">
      <alignmen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36" xfId="0" applyFont="1" applyBorder="1" applyAlignment="1">
      <alignment horizontal="left" vertical="top"/>
    </xf>
  </cellXfs>
  <cellStyles count="1">
    <cellStyle name="Normal" xfId="0" builtinId="0"/>
  </cellStyles>
  <dxfs count="9">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0"/>
  <sheetViews>
    <sheetView showGridLines="0" tabSelected="1" topLeftCell="A4" workbookViewId="0">
      <selection activeCell="F10" sqref="F10"/>
    </sheetView>
  </sheetViews>
  <sheetFormatPr defaultColWidth="8.85546875" defaultRowHeight="14.45"/>
  <cols>
    <col min="1" max="1" width="3.5703125" style="13" customWidth="1"/>
    <col min="2" max="2" width="53.140625" style="13" customWidth="1"/>
    <col min="3" max="3" width="74" style="13" customWidth="1"/>
    <col min="4" max="4" width="3.5703125" style="13" customWidth="1"/>
    <col min="5" max="16384" width="8.85546875" style="13"/>
  </cols>
  <sheetData>
    <row r="1" spans="1:4">
      <c r="A1" s="14"/>
      <c r="B1" s="14"/>
      <c r="C1" s="14"/>
      <c r="D1" s="14"/>
    </row>
    <row r="2" spans="1:4" ht="18.600000000000001">
      <c r="A2" s="14"/>
      <c r="B2" s="15" t="s">
        <v>0</v>
      </c>
      <c r="C2" s="14"/>
      <c r="D2" s="14"/>
    </row>
    <row r="3" spans="1:4" ht="18.600000000000001">
      <c r="A3" s="14"/>
      <c r="B3" s="15"/>
      <c r="C3" s="14"/>
      <c r="D3" s="14"/>
    </row>
    <row r="4" spans="1:4" ht="18.600000000000001">
      <c r="A4" s="14"/>
      <c r="B4" s="55" t="s">
        <v>1</v>
      </c>
      <c r="C4" s="51"/>
      <c r="D4" s="14"/>
    </row>
    <row r="5" spans="1:4" ht="15.6">
      <c r="A5" s="14"/>
      <c r="B5" s="62" t="s">
        <v>2</v>
      </c>
      <c r="C5" s="63"/>
      <c r="D5" s="14"/>
    </row>
    <row r="6" spans="1:4" ht="32.25" customHeight="1">
      <c r="A6" s="14"/>
      <c r="B6" s="66" t="s">
        <v>3</v>
      </c>
      <c r="C6" s="67"/>
      <c r="D6" s="14"/>
    </row>
    <row r="7" spans="1:4" ht="15.75">
      <c r="A7" s="14"/>
      <c r="B7" s="52" t="s">
        <v>4</v>
      </c>
      <c r="C7" s="53"/>
      <c r="D7" s="14"/>
    </row>
    <row r="8" spans="1:4" ht="32.25" customHeight="1">
      <c r="A8" s="14"/>
      <c r="B8" s="62" t="s">
        <v>5</v>
      </c>
      <c r="C8" s="71"/>
      <c r="D8" s="14"/>
    </row>
    <row r="9" spans="1:4" ht="15.75">
      <c r="A9" s="14"/>
      <c r="B9" s="50" t="s">
        <v>6</v>
      </c>
      <c r="C9" s="54"/>
      <c r="D9" s="14"/>
    </row>
    <row r="10" spans="1:4">
      <c r="A10" s="14"/>
      <c r="B10" s="32"/>
      <c r="C10" s="14"/>
      <c r="D10" s="14"/>
    </row>
    <row r="11" spans="1:4" ht="18.600000000000001">
      <c r="A11" s="14"/>
      <c r="B11" s="16" t="s">
        <v>7</v>
      </c>
      <c r="C11" s="17"/>
      <c r="D11" s="14"/>
    </row>
    <row r="12" spans="1:4" ht="31.5" customHeight="1">
      <c r="A12" s="14"/>
      <c r="B12" s="64" t="s">
        <v>8</v>
      </c>
      <c r="C12" s="65"/>
      <c r="D12" s="14"/>
    </row>
    <row r="13" spans="1:4" ht="33.75" customHeight="1">
      <c r="A13" s="14"/>
      <c r="B13" s="60" t="s">
        <v>9</v>
      </c>
      <c r="C13" s="61"/>
      <c r="D13" s="14"/>
    </row>
    <row r="14" spans="1:4" ht="15.6">
      <c r="A14" s="14"/>
      <c r="B14" s="18" t="s">
        <v>10</v>
      </c>
      <c r="C14" s="19"/>
      <c r="D14" s="14"/>
    </row>
    <row r="15" spans="1:4" ht="49.5" customHeight="1">
      <c r="A15" s="14"/>
      <c r="B15" s="64" t="s">
        <v>11</v>
      </c>
      <c r="C15" s="65"/>
      <c r="D15" s="14"/>
    </row>
    <row r="16" spans="1:4" ht="15.6">
      <c r="A16" s="14"/>
      <c r="B16" s="20" t="s">
        <v>12</v>
      </c>
      <c r="C16" s="19"/>
      <c r="D16" s="23"/>
    </row>
    <row r="17" spans="1:4">
      <c r="A17" s="14"/>
      <c r="B17" s="64" t="s">
        <v>13</v>
      </c>
      <c r="C17" s="68"/>
      <c r="D17" s="14"/>
    </row>
    <row r="18" spans="1:4" ht="15.6">
      <c r="A18" s="14"/>
      <c r="B18" s="21" t="s">
        <v>14</v>
      </c>
      <c r="C18" s="22" t="s">
        <v>15</v>
      </c>
      <c r="D18" s="14"/>
    </row>
    <row r="19" spans="1:4" ht="62.1">
      <c r="A19" s="14"/>
      <c r="B19" s="24" t="s">
        <v>16</v>
      </c>
      <c r="C19" s="25" t="s">
        <v>17</v>
      </c>
      <c r="D19" s="14"/>
    </row>
    <row r="20" spans="1:4" ht="30.95">
      <c r="A20" s="14"/>
      <c r="B20" s="24" t="s">
        <v>18</v>
      </c>
      <c r="C20" s="29" t="s">
        <v>19</v>
      </c>
      <c r="D20" s="14"/>
    </row>
    <row r="21" spans="1:4" ht="30.95">
      <c r="A21" s="14"/>
      <c r="B21" s="18" t="s">
        <v>20</v>
      </c>
      <c r="C21" s="43" t="s">
        <v>21</v>
      </c>
      <c r="D21" s="14"/>
    </row>
    <row r="22" spans="1:4" ht="144.75" customHeight="1">
      <c r="A22" s="14"/>
      <c r="B22" s="37" t="s">
        <v>22</v>
      </c>
      <c r="C22" s="30" t="s">
        <v>23</v>
      </c>
      <c r="D22" s="14"/>
    </row>
    <row r="23" spans="1:4" ht="30.95">
      <c r="A23" s="14"/>
      <c r="B23" s="27" t="s">
        <v>24</v>
      </c>
      <c r="C23" s="31" t="s">
        <v>25</v>
      </c>
      <c r="D23" s="14"/>
    </row>
    <row r="24" spans="1:4" ht="15.6">
      <c r="A24" s="14"/>
      <c r="B24" s="20" t="s">
        <v>26</v>
      </c>
      <c r="C24" s="19"/>
      <c r="D24" s="14"/>
    </row>
    <row r="25" spans="1:4">
      <c r="A25" s="14"/>
      <c r="B25" s="58" t="s">
        <v>27</v>
      </c>
      <c r="C25" s="59"/>
      <c r="D25" s="14"/>
    </row>
    <row r="26" spans="1:4" ht="19.5" customHeight="1">
      <c r="A26" s="14"/>
      <c r="B26" s="69"/>
      <c r="C26" s="70"/>
      <c r="D26" s="14"/>
    </row>
    <row r="27" spans="1:4">
      <c r="A27" s="14"/>
      <c r="B27" s="14"/>
      <c r="C27" s="14"/>
      <c r="D27" s="14"/>
    </row>
    <row r="28" spans="1:4" ht="18.600000000000001">
      <c r="A28" s="14"/>
      <c r="B28" s="16" t="s">
        <v>28</v>
      </c>
      <c r="C28" s="17"/>
      <c r="D28" s="14"/>
    </row>
    <row r="29" spans="1:4" ht="15.6">
      <c r="A29" s="14"/>
      <c r="B29" s="18" t="s">
        <v>29</v>
      </c>
      <c r="C29" s="19"/>
      <c r="D29" s="14"/>
    </row>
    <row r="30" spans="1:4" ht="15.6">
      <c r="A30" s="14"/>
      <c r="B30" s="18" t="s">
        <v>30</v>
      </c>
      <c r="C30" s="19"/>
      <c r="D30" s="14"/>
    </row>
    <row r="31" spans="1:4" ht="51" customHeight="1">
      <c r="A31" s="14"/>
      <c r="B31" s="60" t="s">
        <v>31</v>
      </c>
      <c r="C31" s="61"/>
      <c r="D31" s="14"/>
    </row>
    <row r="32" spans="1:4" ht="15.6">
      <c r="A32" s="14"/>
      <c r="B32" s="20" t="s">
        <v>32</v>
      </c>
      <c r="C32" s="19"/>
      <c r="D32" s="14"/>
    </row>
    <row r="33" spans="1:4" ht="15.6">
      <c r="A33" s="14"/>
      <c r="B33" s="58" t="s">
        <v>33</v>
      </c>
      <c r="C33" s="59"/>
      <c r="D33" s="14"/>
    </row>
    <row r="34" spans="1:4" ht="15.6">
      <c r="A34" s="14"/>
      <c r="B34" s="21" t="s">
        <v>14</v>
      </c>
      <c r="C34" s="22" t="s">
        <v>15</v>
      </c>
      <c r="D34" s="14"/>
    </row>
    <row r="35" spans="1:4" ht="15.6">
      <c r="A35" s="14"/>
      <c r="B35" s="24" t="s">
        <v>34</v>
      </c>
      <c r="C35" s="25" t="s">
        <v>35</v>
      </c>
      <c r="D35" s="14"/>
    </row>
    <row r="36" spans="1:4" ht="30.95">
      <c r="A36" s="14"/>
      <c r="B36" s="38" t="s">
        <v>36</v>
      </c>
      <c r="C36" s="26" t="s">
        <v>37</v>
      </c>
      <c r="D36" s="14"/>
    </row>
    <row r="37" spans="1:4" ht="30.95">
      <c r="A37" s="14"/>
      <c r="B37" s="39" t="s">
        <v>38</v>
      </c>
      <c r="C37" s="40" t="s">
        <v>39</v>
      </c>
      <c r="D37" s="14"/>
    </row>
    <row r="38" spans="1:4">
      <c r="A38" s="14"/>
      <c r="B38" s="14"/>
      <c r="C38" s="14"/>
      <c r="D38" s="14"/>
    </row>
    <row r="39" spans="1:4">
      <c r="A39" s="32"/>
      <c r="B39" s="14"/>
      <c r="C39" s="14"/>
      <c r="D39" s="32"/>
    </row>
    <row r="40" spans="1:4">
      <c r="A40" s="32"/>
      <c r="B40" s="14"/>
      <c r="C40" s="14"/>
      <c r="D40" s="32"/>
    </row>
  </sheetData>
  <mergeCells count="10">
    <mergeCell ref="B33:C33"/>
    <mergeCell ref="B31:C31"/>
    <mergeCell ref="B13:C13"/>
    <mergeCell ref="B5:C5"/>
    <mergeCell ref="B12:C12"/>
    <mergeCell ref="B15:C15"/>
    <mergeCell ref="B6:C6"/>
    <mergeCell ref="B17:C17"/>
    <mergeCell ref="B25:C26"/>
    <mergeCell ref="B8:C8"/>
  </mergeCells>
  <printOptions headings="1"/>
  <pageMargins left="0.25" right="0.25" top="0.75" bottom="0.75" header="0.3" footer="0.3"/>
  <pageSetup paperSize="9" scale="73" orientation="portrait" horizontalDpi="4294967293" r:id="rId1"/>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118"/>
  <sheetViews>
    <sheetView showGridLines="0" zoomScale="55" zoomScaleNormal="55" workbookViewId="0">
      <pane ySplit="1" topLeftCell="C9" activePane="bottomLeft" state="frozen"/>
      <selection pane="bottomLeft" activeCell="C10" sqref="C10"/>
    </sheetView>
  </sheetViews>
  <sheetFormatPr defaultColWidth="8.85546875" defaultRowHeight="15" customHeight="1"/>
  <cols>
    <col min="1" max="2" width="13.85546875" style="1" customWidth="1"/>
    <col min="3" max="3" width="51.42578125" style="1" customWidth="1"/>
    <col min="4" max="4" width="47.42578125" style="1" customWidth="1"/>
    <col min="5" max="5" width="8.42578125" style="1" customWidth="1"/>
    <col min="6" max="6" width="52.85546875" style="1" customWidth="1"/>
    <col min="7" max="7" width="8.42578125" style="1" customWidth="1"/>
    <col min="8" max="16384" width="8.85546875" style="1"/>
  </cols>
  <sheetData>
    <row r="1" spans="1:7" ht="27.95">
      <c r="A1" s="8" t="s">
        <v>40</v>
      </c>
      <c r="B1" s="48" t="s">
        <v>41</v>
      </c>
      <c r="C1" s="8" t="s">
        <v>14</v>
      </c>
      <c r="D1" s="8" t="s">
        <v>42</v>
      </c>
      <c r="E1" s="48" t="s">
        <v>43</v>
      </c>
      <c r="F1" s="8" t="s">
        <v>44</v>
      </c>
      <c r="G1" s="8" t="s">
        <v>45</v>
      </c>
    </row>
    <row r="2" spans="1:7" ht="43.5">
      <c r="A2" s="33" t="s">
        <v>46</v>
      </c>
      <c r="B2" s="28"/>
      <c r="C2" s="13" t="s">
        <v>47</v>
      </c>
      <c r="D2" s="13" t="s">
        <v>48</v>
      </c>
      <c r="E2" s="44">
        <f>IF(NOT(D2=""),LEN(D2),"")</f>
        <v>131</v>
      </c>
      <c r="F2" s="46"/>
      <c r="G2" s="34" t="str">
        <f t="shared" ref="E2:G42" si="0">IF(NOT(F2=""),LEN(F2),"")</f>
        <v/>
      </c>
    </row>
    <row r="3" spans="1:7" ht="101.45">
      <c r="A3" s="33" t="s">
        <v>49</v>
      </c>
      <c r="B3" s="28"/>
      <c r="C3" s="47" t="s">
        <v>47</v>
      </c>
      <c r="D3" s="45" t="s">
        <v>50</v>
      </c>
      <c r="E3" s="44">
        <f>IF(NOT(D3=""),LEN(D3),"")</f>
        <v>97</v>
      </c>
      <c r="F3" s="47" t="s">
        <v>51</v>
      </c>
      <c r="G3" s="34">
        <f t="shared" si="0"/>
        <v>379</v>
      </c>
    </row>
    <row r="4" spans="1:7" ht="14.45">
      <c r="A4" s="33" t="s">
        <v>52</v>
      </c>
      <c r="B4" s="28"/>
      <c r="C4" s="47" t="s">
        <v>53</v>
      </c>
      <c r="D4" s="35"/>
      <c r="E4" s="49" t="str">
        <f t="shared" si="0"/>
        <v/>
      </c>
      <c r="F4" s="35"/>
      <c r="G4" s="34" t="str">
        <f t="shared" si="0"/>
        <v/>
      </c>
    </row>
    <row r="5" spans="1:7" ht="144.94999999999999">
      <c r="A5" s="33" t="s">
        <v>54</v>
      </c>
      <c r="B5" s="28"/>
      <c r="C5" s="57" t="s">
        <v>55</v>
      </c>
      <c r="D5" s="35"/>
      <c r="E5" s="36" t="str">
        <f t="shared" si="0"/>
        <v/>
      </c>
      <c r="F5" s="41" t="s">
        <v>56</v>
      </c>
      <c r="G5" s="34">
        <f t="shared" si="0"/>
        <v>611</v>
      </c>
    </row>
    <row r="6" spans="1:7" ht="72.599999999999994">
      <c r="A6" s="3" t="s">
        <v>57</v>
      </c>
      <c r="B6" s="33"/>
      <c r="C6" s="33" t="s">
        <v>47</v>
      </c>
      <c r="D6" s="42" t="s">
        <v>58</v>
      </c>
      <c r="E6" s="34">
        <f t="shared" si="0"/>
        <v>232</v>
      </c>
      <c r="F6" s="3"/>
      <c r="G6" s="4" t="str">
        <f t="shared" si="0"/>
        <v/>
      </c>
    </row>
    <row r="7" spans="1:7" ht="57.95">
      <c r="A7" s="3" t="s">
        <v>59</v>
      </c>
      <c r="B7" s="3"/>
      <c r="C7" s="3" t="s">
        <v>47</v>
      </c>
      <c r="D7" s="35" t="s">
        <v>60</v>
      </c>
      <c r="E7" s="34">
        <f t="shared" si="0"/>
        <v>188</v>
      </c>
      <c r="F7" s="3"/>
      <c r="G7" s="4" t="str">
        <f t="shared" si="0"/>
        <v/>
      </c>
    </row>
    <row r="8" spans="1:7" ht="14.45">
      <c r="A8" s="3" t="s">
        <v>61</v>
      </c>
      <c r="B8" s="3"/>
      <c r="C8" s="3" t="s">
        <v>24</v>
      </c>
      <c r="D8" s="3"/>
      <c r="E8" s="4" t="str">
        <f t="shared" si="0"/>
        <v/>
      </c>
      <c r="F8" s="3"/>
      <c r="G8" s="4" t="str">
        <f t="shared" si="0"/>
        <v/>
      </c>
    </row>
    <row r="9" spans="1:7" ht="144.94999999999999">
      <c r="A9" s="3" t="s">
        <v>62</v>
      </c>
      <c r="B9" s="3"/>
      <c r="C9" s="3" t="s">
        <v>63</v>
      </c>
      <c r="D9" s="3" t="s">
        <v>64</v>
      </c>
      <c r="E9" s="4">
        <f>IF(NOT(D9=""),LEN(D9),"")</f>
        <v>105</v>
      </c>
      <c r="F9" s="3" t="s">
        <v>65</v>
      </c>
      <c r="G9" s="4">
        <f t="shared" si="0"/>
        <v>583</v>
      </c>
    </row>
    <row r="10" spans="1:7" ht="155" customHeight="1">
      <c r="A10" s="3" t="str">
        <v>Figure</v>
      </c>
      <c r="B10" s="3" t="str">
        <v>Fig 1.1</v>
      </c>
      <c r="C10" s="3" t="str">
        <v>Figure group (see instructions)</v>
      </c>
      <c r="D10" s="3"/>
      <c r="E10" s="4" t="str">
        <f t="shared" si="0">IF(NOT(D10=""),LEN(D10),"")</f>
      </c>
      <c r="F10" s="3" t="str">
        <v>Two square coupling plots compare independence with minimum-cost transport between the same one-dimensional Gaussian mixtures. In both, the red source density is drawn vertically at the left and the blue target density horizontally above the square. Darker gray means more joint mass. The left square has a diffuse array of dark patches, formed by combining each source mode with every target mode. In the right square, the mass is concentrated along an increasing correspondence, overlaid in red, that matches equal cumulative ranks. The marginal profiles agree between panels despite this large difference in dependence. The example distinguishes the prescribed distributions from the choice of joint distribution connecting them.</v>
      </c>
      <c r="G10" s="4" t="n">
        <f t="shared" si="0">IF(NOT(F10=""),LEN(F10),"")</f>
        <v>732</v>
      </c>
    </row>
    <row r="11" spans="1:7" ht="75" customHeight="1">
      <c r="A11" s="3" t="str">
        <v>Figure</v>
      </c>
      <c r="B11" s="3" t="str">
        <v>Fig 1.1, left</v>
      </c>
      <c r="C11" s="3" t="str">
        <v>Image (Alt-text and/or Long Description)</v>
      </c>
      <c r="D11" s="3" t="str">
        <v>Independent coupling: diffuse gray patches combine every source mode with every target mode, with the source at left and target above. See long description.</v>
      </c>
      <c r="E11" s="4" t="n">
        <f t="shared" si="0">IF(NOT(D11=""),LEN(D11),"")</f>
        <v>156</v>
      </c>
      <c r="F11" s="3" t="str">
        <v>The source density is red along the vertical edge and the target density blue along the horizontal edge. Inside the square, separated gray patches form a grid of possible source-target combinations. The joint mass is the product of the two marginal masses. Thus knowing the source position does not select a target position.</v>
      </c>
      <c r="G11" s="4" t="n">
        <f t="shared" si="0">IF(NOT(F11=""),LEN(F11),"")</f>
        <v>324</v>
      </c>
    </row>
    <row r="12" spans="1:7" ht="75" customHeight="1">
      <c r="A12" s="3" t="str">
        <v>Figure</v>
      </c>
      <c r="B12" s="3" t="str">
        <v>Fig 1.1, right</v>
      </c>
      <c r="C12" s="3" t="str">
        <v>Image (Alt-text and/or Long Description)</v>
      </c>
      <c r="D12" s="3" t="str">
        <v>Quadratic optimal coupling: joint mass follows an increasing quantile correspondence between the same red and blue marginals. See long description.</v>
      </c>
      <c r="E12" s="4" t="n">
        <f t="shared" si="0">IF(NOT(D12=""),LEN(D12),"")</f>
        <v>147</v>
      </c>
      <c r="F12" s="3" t="str">
        <v>The same marginal densities surround a mostly white coupling square. A narrow dark staircase, with a red quantile-map overlay, carries the transported mass from lower source ranks to lower target ranks and higher ranks to higher ranks. It contrasts with the diffuse product coupling in the left panel.</v>
      </c>
      <c r="G12" s="4" t="n">
        <f t="shared" si="0">IF(NOT(F12=""),LEN(F12),"")</f>
        <v>301</v>
      </c>
    </row>
    <row r="13" spans="1:7" ht="155" customHeight="1">
      <c r="A13" s="3" t="str">
        <v>Figure</v>
      </c>
      <c r="B13" s="3" t="str">
        <v>Fig 1.2</v>
      </c>
      <c r="C13" s="3" t="str">
        <v>Figure group (see instructions)</v>
      </c>
      <c r="D13" s="3"/>
      <c r="E13" s="4" t="str">
        <f t="shared" si="0">IF(NOT(D13=""),LEN(D13),"")</f>
      </c>
      <c r="F13" s="3" t="str">
        <v>Two 16-by-16 matrices show couplings between the binned versions of the mixtures in Figure 1.1. Source bin masses are red horizontal bars at the left; target bin masses are blue vertical bars above. The bars are identical in both panels. The independent matrix on the left distributes mass across a broad block. The quadratic optimal matrix on the right has nonzero cells along a narrow increasing staircase. Several rows or columns meet more than one nonzero cell because the source and target bin weights differ. The matrix entries represent transported mass, their row and column sums give the surrounding histograms, and darker cells indicate larger entries. Gray intensity is normalized separately for each matrix.</v>
      </c>
      <c r="G13" s="4" t="n">
        <f t="shared" si="0">IF(NOT(F13=""),LEN(F13),"")</f>
        <v>719</v>
      </c>
    </row>
    <row r="14" spans="1:7" ht="75" customHeight="1">
      <c r="A14" s="3" t="str">
        <v>Figure</v>
      </c>
      <c r="B14" s="3" t="str">
        <v>Fig 1.2, left</v>
      </c>
      <c r="C14" s="3" t="str">
        <v>Image (Alt-text and/or Long Description)</v>
      </c>
      <c r="D14" s="3" t="str">
        <v>A 16-by-16 independent coupling spreads histogram mass over a broad block. Red and blue bars give its row and column sums. See long description.</v>
      </c>
      <c r="E14" s="4" t="n">
        <f t="shared" si="0">IF(NOT(D14=""),LEN(D14),"")</f>
        <v>144</v>
      </c>
      <c r="F14" s="3" t="str">
        <v>Each cell contains the product of its source-bin and target-bin masses. Red bars on the left and blue bars above display the prescribed marginals. The darkest entries combine the largest source and target weights. The plan is dense across the parts of the grid where both marginals carry appreciable mass.</v>
      </c>
      <c r="G14" s="4" t="n">
        <f t="shared" si="0">IF(NOT(F14=""),LEN(F14),"")</f>
        <v>305</v>
      </c>
    </row>
    <row r="15" spans="1:7" ht="75" customHeight="1">
      <c r="A15" s="3" t="str">
        <v>Figure</v>
      </c>
      <c r="B15" s="3" t="str">
        <v>Fig 1.2, right</v>
      </c>
      <c r="C15" s="3" t="str">
        <v>Image (Alt-text and/or Long Description)</v>
      </c>
      <c r="D15" s="3" t="str">
        <v>A sparse increasing staircase gives the quadratic optimal histogram coupling; unequal bin weights require some mass splitting. See long description.</v>
      </c>
      <c r="E15" s="4" t="n">
        <f t="shared" si="0">IF(NOT(D15=""),LEN(D15),"")</f>
        <v>148</v>
      </c>
      <c r="F15" s="3" t="str">
        <v>The matrix has the same surrounding histograms as the independent panel. Nonzero entries form an increasing staircase rather than a broad block. Some source bins divide their mass among adjacent target bins, while some targets receive mass from several source bins. The gray scale indicates entry size within this panel.</v>
      </c>
      <c r="G15" s="4" t="n">
        <f t="shared" si="0">IF(NOT(F15=""),LEN(F15),"")</f>
        <v>320</v>
      </c>
    </row>
    <row r="16" spans="1:7" ht="155" customHeight="1">
      <c r="A16" s="3" t="str">
        <v>Figure</v>
      </c>
      <c r="B16" s="3" t="str">
        <v>Fig 1.3</v>
      </c>
      <c r="C16" s="3" t="str">
        <v>Figure group (see instructions)</v>
      </c>
      <c r="D16" s="3"/>
      <c r="E16" s="4" t="str">
        <f t="shared" si="0">IF(NOT(D16=""),LEN(D16),"")</f>
      </c>
      <c r="F16" s="3" t="str">
        <v>Three panels connect Gaussian Wasserstein geodesics in parameter space with evolving probability densities. The horizontal coordinate in the left panel is the mean m and the vertical coordinate the standard deviation sigma. Two straight segments move from red starting points on the left toward blue endpoints on the right. One segment increases sigma, while the other decreases it. The middle panel gives the density evolution for the widening path: the bell shifts right, becomes broader and its peak falls. The right panel gives the narrowing path: the bell shifts right, becomes narrower and its peak rises. Colors identify corresponding interpolation stages. Straightness holds in mean and standard deviation, rather than in mean and variance.</v>
      </c>
      <c r="G16" s="4" t="n">
        <f t="shared" si="0">IF(NOT(F16=""),LEN(F16),"")</f>
        <v>748</v>
      </c>
    </row>
    <row r="17" spans="1:7" ht="75" customHeight="1">
      <c r="A17" s="3" t="str">
        <v>Figure</v>
      </c>
      <c r="B17" s="3" t="str">
        <v>Fig 1.3, left</v>
      </c>
      <c r="C17" s="3" t="str">
        <v>Image (Alt-text and/or Long Description)</v>
      </c>
      <c r="D17" s="3" t="str">
        <v>Two Gaussian Wasserstein geodesics are straight segments in mean versus standard deviation, one widening and one narrowing. See long description.</v>
      </c>
      <c r="E17" s="4" t="n">
        <f t="shared" si="0">IF(NOT(D17=""),LEN(D17),"")</f>
        <v>145</v>
      </c>
      <c r="F17" s="3" t="str">
        <v>The parameter half-plane has mean on the horizontal axis and positive standard deviation on the vertical axis. Colored dots along two crossing straight segments run from red to blue. One moves upward as the mean increases and the other downward, representing increasing and decreasing spread respectively.</v>
      </c>
      <c r="G17" s="4" t="n">
        <f t="shared" si="0">IF(NOT(F17=""),LEN(F17),"")</f>
        <v>305</v>
      </c>
    </row>
    <row r="18" spans="1:7" ht="62" customHeight="1">
      <c r="A18" s="3" t="str">
        <v>Figure</v>
      </c>
      <c r="B18" s="3" t="str">
        <v>Fig 1.3, middle</v>
      </c>
      <c r="C18" s="3" t="str">
        <v>Image (Alt-text and/or Long Description)</v>
      </c>
      <c r="D18" s="3" t="str">
        <v>Along the widening Gaussian geodesic, the density shifts right, broadens and decreases in height from red to blue. See long description.</v>
      </c>
      <c r="E18" s="4" t="n">
        <f t="shared" si="0">IF(NOT(D18=""),LEN(D18),"")</f>
        <v>136</v>
      </c>
      <c r="F18" s="3" t="str">
        <v>The horizontal axis is position and the vertical axis density. Successive bell curves move from a tall, narrow red peak on the left to a lower, broader blue peak on the right. Intermediate curves match the increasing-standard-deviation segment in the parameter panel.</v>
      </c>
      <c r="G18" s="4" t="n">
        <f t="shared" si="0">IF(NOT(F18=""),LEN(F18),"")</f>
        <v>267</v>
      </c>
    </row>
    <row r="19" spans="1:7" ht="62" customHeight="1">
      <c r="A19" s="3" t="str">
        <v>Figure</v>
      </c>
      <c r="B19" s="3" t="str">
        <v>Fig 1.3, right</v>
      </c>
      <c r="C19" s="3" t="str">
        <v>Image (Alt-text and/or Long Description)</v>
      </c>
      <c r="D19" s="3" t="str">
        <v>Along the narrowing Gaussian geodesic, the density shifts right and its peak becomes taller and thinner from red to blue. See long description.</v>
      </c>
      <c r="E19" s="4" t="n">
        <f t="shared" si="0">IF(NOT(D19=""),LEN(D19),"")</f>
        <v>143</v>
      </c>
      <c r="F19" s="3" t="str">
        <v>Successive Gaussian densities move from a broad red bell toward a narrow blue bell farther right. Intermediate curves become progressively taller. Their means and standard deviations follow the descending straight segment in the parameter panel.</v>
      </c>
      <c r="G19" s="4" t="n">
        <f t="shared" si="0">IF(NOT(F19=""),LEN(F19),"")</f>
        <v>245</v>
      </c>
    </row>
    <row r="20" spans="1:7" ht="155" customHeight="1">
      <c r="A20" s="3" t="str">
        <v>Figure</v>
      </c>
      <c r="B20" s="3" t="str">
        <v>Fig 1.4</v>
      </c>
      <c r="C20" s="3" t="str">
        <v>Figure group (see instructions)</v>
      </c>
      <c r="D20" s="3"/>
      <c r="E20" s="4" t="str">
        <f t="shared" si="0">IF(NOT(D20=""),LEN(D20),"")</f>
      </c>
      <c r="F20" s="3" t="str">
        <v>Three panels explain one-dimensional displacement interpolation by quantiles. At left, the red source density has two modes and the blue target density also has two modes at different locations and with different weights. The middle panel plots position against cumulative rank from zero to one. The red source quantile and blue target quantile are increasing curves, with intermediate quantiles obtained by linear interpolation at each fixed rank. At right, densities reconstructed from these intermediate quantiles move and deform between the endpoints. Their peaks can split or change shape. This is transport of ranked mass across space, rather than a weighted sum of the two endpoint density curves.</v>
      </c>
      <c r="G20" s="4" t="n">
        <f t="shared" si="0">IF(NOT(F20=""),LEN(F20),"")</f>
        <v>704</v>
      </c>
    </row>
    <row r="21" spans="1:7" ht="62" customHeight="1">
      <c r="A21" s="3" t="str">
        <v>Figure</v>
      </c>
      <c r="B21" s="3" t="str">
        <v>Fig 1.4, left</v>
      </c>
      <c r="C21" s="3" t="str">
        <v>Image (Alt-text and/or Long Description)</v>
      </c>
      <c r="D21" s="3" t="str">
        <v>Red and blue two-mode densities are the endpoints of a one-dimensional Wasserstein interpolation. See long description.</v>
      </c>
      <c r="E21" s="4" t="n">
        <f t="shared" si="0">IF(NOT(D21=""),LEN(D21),"")</f>
        <v>119</v>
      </c>
      <c r="F21" s="3" t="str">
        <v>Position is horizontal and density vertical. The red distribution has its larger peak on the left and a smaller peak nearer the center. The blue distribution has one peak left of the center and a larger peak on the right. Transparent fills distinguish the endpoint distributions.</v>
      </c>
      <c r="G21" s="4" t="n">
        <f t="shared" si="0">IF(NOT(F21=""),LEN(F21),"")</f>
        <v>279</v>
      </c>
    </row>
    <row r="22" spans="1:7" ht="75" customHeight="1">
      <c r="A22" s="3" t="str">
        <v>Figure</v>
      </c>
      <c r="B22" s="3" t="str">
        <v>Fig 1.4, middle</v>
      </c>
      <c r="C22" s="3" t="str">
        <v>Image (Alt-text and/or Long Description)</v>
      </c>
      <c r="D22" s="3" t="str">
        <v>Increasing source and target quantile curves are joined by pointwise linear interpolation at each probability rank. See long description.</v>
      </c>
      <c r="E22" s="4" t="n">
        <f t="shared" si="0">IF(NOT(D22=""),LEN(D22),"")</f>
        <v>137</v>
      </c>
      <c r="F22" s="3" t="str">
        <v>The horizontal axis is rank r between zero and one and the vertical axis is quantile position. Red and blue curves describe the endpoints; intermediate colored curves lie between them at each rank. Each ranked particle moves linearly from its source position to its target position.</v>
      </c>
      <c r="G22" s="4" t="n">
        <f t="shared" si="0">IF(NOT(F22=""),LEN(F22),"")</f>
        <v>282</v>
      </c>
    </row>
    <row r="23" spans="1:7" ht="75" customHeight="1">
      <c r="A23" s="3" t="str">
        <v>Figure</v>
      </c>
      <c r="B23" s="3" t="str">
        <v>Fig 1.4, right</v>
      </c>
      <c r="C23" s="3" t="str">
        <v>Image (Alt-text and/or Long Description)</v>
      </c>
      <c r="D23" s="3" t="str">
        <v>Intermediate density peaks move and deform as quantiles interpolate from the red source to the blue target. See long description.</v>
      </c>
      <c r="E23" s="4" t="n">
        <f t="shared" si="0">IF(NOT(D23=""),LEN(D23),"")</f>
        <v>129</v>
      </c>
      <c r="F23" s="3" t="str">
        <v>Several density snapshots overlay the endpoint profiles on the same position axis. Peaks shift and change shape, with intermediate narrow features appearing as ranked mass is redistributed. The curves are the densities induced by the middle panel's quantiles, not linear mixtures of the two endpoint densities.</v>
      </c>
      <c r="G23" s="4" t="n">
        <f t="shared" si="0">IF(NOT(F23=""),LEN(F23),"")</f>
        <v>310</v>
      </c>
    </row>
    <row r="24" spans="1:7" ht="155" customHeight="1">
      <c r="A24" s="3" t="str">
        <v>Figure</v>
      </c>
      <c r="B24" s="3" t="str">
        <v>Fig 2.1</v>
      </c>
      <c r="C24" s="3" t="str">
        <v>Figure group (see instructions)</v>
      </c>
      <c r="D24" s="3"/>
      <c r="E24" s="4" t="str">
        <f t="shared" si="0">IF(NOT(D24=""),LEN(D24),"")</f>
      </c>
      <c r="F24" s="3" t="str">
        <v>The left image shows five successive density silhouettes along a quadratic optimal-transport geodesic. A red cat-shaped source progressively separates and deforms into two blue disk-shaped components. Intermediate stages are colored between red and blue. Each matched particle moves on a straight segment at constant characteristic velocity, producing a least-action evolution rather than a cross-fade of the endpoint images. The right image enlarges the intermediate two-component density and overlays black velocity arrows. Arrows in the upper-left component generally point right and upward, while those in the lower-right component generally point right and downward. The arrows are shortened for legibility.</v>
      </c>
      <c r="G24" s="4" t="n">
        <f t="shared" si="0">IF(NOT(F24=""),LEN(F24),"")</f>
        <v>712</v>
      </c>
    </row>
    <row r="25" spans="1:7" ht="75" customHeight="1">
      <c r="A25" s="3" t="str">
        <v>Figure</v>
      </c>
      <c r="B25" s="3" t="str">
        <v>Fig 2.1, left</v>
      </c>
      <c r="C25" s="3" t="str">
        <v>Image (Alt-text and/or Long Description)</v>
      </c>
      <c r="D25" s="3" t="str">
        <v>Five red-to-blue density snapshots transport a cat silhouette into two separated disks along a Wasserstein geodesic. See long description.</v>
      </c>
      <c r="E25" s="4" t="n">
        <f t="shared" si="0">IF(NOT(D25=""),LEN(D25),"")</f>
        <v>138</v>
      </c>
      <c r="F25" s="3" t="str">
        <v>The snapshots are arranged from left to right. The original cat-shaped mass separates into two groups while individual groups translate and deform, ending as two blue disks. Colors mark interpolation time. The displayed densities are smoothed views of transported particle samples.</v>
      </c>
      <c r="G25" s="4" t="n">
        <f t="shared" si="0">IF(NOT(F25=""),LEN(F25),"")</f>
        <v>281</v>
      </c>
    </row>
    <row r="26" spans="1:7" ht="75" customHeight="1">
      <c r="A26" s="3" t="str">
        <v>Figure</v>
      </c>
      <c r="B26" s="3" t="str">
        <v>Fig 2.1, right</v>
      </c>
      <c r="C26" s="3" t="str">
        <v>Image (Alt-text and/or Long Description)</v>
      </c>
      <c r="D26" s="3" t="str">
        <v>Black arrows on the midpoint density show the directions of constant particle displacements toward the two target components. See long description.</v>
      </c>
      <c r="E26" s="4" t="n">
        <f t="shared" si="0">IF(NOT(D26=""),LEN(D26),"")</f>
        <v>147</v>
      </c>
      <c r="F26" s="3" t="str">
        <v>Two purple density components are shown at a larger scale. Black arrows attached to representative midpoint particles indicate their target-minus-source displacement. Most arrows point rightward; the vertical direction differs between the two components. Their displayed lengths are shortened, so the image primarily communicates direction.</v>
      </c>
      <c r="G26" s="4" t="n">
        <f t="shared" si="0">IF(NOT(F26=""),LEN(F26),"")</f>
        <v>340</v>
      </c>
    </row>
    <row r="27" spans="1:7" ht="168" customHeight="1">
      <c r="A27" s="3" t="str">
        <v>Figure</v>
      </c>
      <c r="B27" s="3" t="str">
        <v>Fig 2.2</v>
      </c>
      <c r="C27" s="3" t="str">
        <v>Figure group (see instructions)</v>
      </c>
      <c r="D27" s="3"/>
      <c r="E27" s="4" t="str">
        <f t="shared" si="0">IF(NOT(D27=""),LEN(D27),"")</f>
      </c>
      <c r="F27" s="3" t="str">
        <v>Three plots show the density, momentum and dual potential of the same one-dimensional Benamou--Brenier transport between Gaussian mixtures. Each horizontal axis is position. Curves at times zero, one quarter, one half, three quarters and one are colored from red to blue. The density peaks move to the right and change shape. Momentum is density multiplied by velocity, so its peaks differ in height from those of the density. The potential curves rise with position and their slopes determine velocity. With the review's action normalization, momentum equals one half of density times the spatial potential derivative, and the active region satisfies the Hamilton--Jacobi equation with a one-quarter squared-gradient term. Potential height itself is only defined up to an additive constant.</v>
      </c>
      <c r="G27" s="4" t="n">
        <f t="shared" si="0">IF(NOT(F27=""),LEN(F27),"")</f>
        <v>791</v>
      </c>
    </row>
    <row r="28" spans="1:7" ht="62" customHeight="1">
      <c r="A28" s="3" t="str">
        <v>Figure</v>
      </c>
      <c r="B28" s="3" t="str">
        <v>Fig 2.2, left</v>
      </c>
      <c r="C28" s="3" t="str">
        <v>Image (Alt-text and/or Long Description)</v>
      </c>
      <c r="D28" s="3" t="str">
        <v>Density curves at five times move and deform from a red Gaussian mixture to a blue Gaussian mixture. See long description.</v>
      </c>
      <c r="E28" s="4" t="n">
        <f t="shared" si="0">IF(NOT(D28=""),LEN(D28),"")</f>
        <v>122</v>
      </c>
      <c r="F28" s="3" t="str">
        <v>The horizontal axis is position x and the vertical axis density. The legend identifies times 0, 0.25, 0.5, 0.75 and 1. Colored peaks progress rightward and change width as the monotone quantile interpolation transports the source mixture to the target mixture.</v>
      </c>
      <c r="G28" s="4" t="n">
        <f t="shared" si="0">IF(NOT(F28=""),LEN(F28),"")</f>
        <v>260</v>
      </c>
    </row>
    <row r="29" spans="1:7" ht="75" customHeight="1">
      <c r="A29" s="3" t="str">
        <v>Figure</v>
      </c>
      <c r="B29" s="3" t="str">
        <v>Fig 2.2, middle</v>
      </c>
      <c r="C29" s="3" t="str">
        <v>Image (Alt-text and/or Long Description)</v>
      </c>
      <c r="D29" s="3" t="str">
        <v>Momentum-density snapshots share the moving supports of the density but have heights weighted by transport velocity. See long description.</v>
      </c>
      <c r="E29" s="4" t="n">
        <f t="shared" si="0">IF(NOT(D29=""),LEN(D29),"")</f>
        <v>138</v>
      </c>
      <c r="F29" s="3" t="str">
        <v>The horizontal axis is position and the vertical axis momentum, density times velocity. The same five colors identify the same times as in the left panel. The tallest momentum peaks need not coincide with the tallest density peaks, because different ranked particles have different displacements.</v>
      </c>
      <c r="G29" s="4" t="n">
        <f t="shared" si="0">IF(NOT(F29=""),LEN(F29),"")</f>
        <v>296</v>
      </c>
    </row>
    <row r="30" spans="1:7" ht="75" customHeight="1">
      <c r="A30" s="3" t="str">
        <v>Figure</v>
      </c>
      <c r="B30" s="3" t="str">
        <v>Fig 2.2, right</v>
      </c>
      <c r="C30" s="3" t="str">
        <v>Image (Alt-text and/or Long Description)</v>
      </c>
      <c r="D30" s="3" t="str">
        <v>Five spatial dual-potential curves encode the same flow through their derivatives and the Hamilton--Jacobi equation. See long description.</v>
      </c>
      <c r="E30" s="4" t="n">
        <f t="shared" si="0">IF(NOT(D30=""),LEN(D30),"")</f>
        <v>138</v>
      </c>
      <c r="F30" s="3" t="str">
        <v>The vertical axis is the dual potential and the horizontal axis position. The colored curves are increasing over the active transport region. Their spatial derivatives give twice the velocity under the kinetic-energy convention used here. Comparisons of absolute vertical levels depend on the chosen additive normalization.</v>
      </c>
      <c r="G30" s="4" t="n">
        <f t="shared" si="0">IF(NOT(F30=""),LEN(F30),"")</f>
        <v>323</v>
      </c>
    </row>
    <row r="31" spans="1:7" ht="155" customHeight="1">
      <c r="A31" s="3" t="str">
        <v>Figure</v>
      </c>
      <c r="B31" s="3" t="str">
        <v>Fig 3.1</v>
      </c>
      <c r="C31" s="3" t="str">
        <v>Figure group (see instructions)</v>
      </c>
      <c r="D31" s="3"/>
      <c r="E31" s="4" t="str">
        <f t="shared" si="0">IF(NOT(D31=""),LEN(D31),"")</f>
      </c>
      <c r="F31" s="3" t="str">
        <v>Two complementary views show heat diffusion of an initially bimodal Gaussian mixture. On the left, density is plotted against position. The initial red curve has two sharp peaks with a deep valley between them. Successive curves become wider and lower, and the blue late-time profile fills the valley. On the right, time is horizontal and position vertical. Curves connect the positions of selected fixed probability ranks, with red dots initially and blue dots at the final displayed time. Lower ranks move downward and upper ranks upward as the law spreads, while the rank order is preserved. These are snapshots of the continuous heat flow, obtained by increasing each component variance by twice time, rather than discrete minimizing-movement steps.</v>
      </c>
      <c r="G31" s="4" t="n">
        <f t="shared" si="0">IF(NOT(F31=""),LEN(F31),"")</f>
        <v>753</v>
      </c>
    </row>
    <row r="32" spans="1:7" ht="75" customHeight="1">
      <c r="A32" s="3" t="str">
        <v>Figure</v>
      </c>
      <c r="B32" s="3" t="str">
        <v>Fig 3.1, left</v>
      </c>
      <c r="C32" s="3" t="str">
        <v>Image (Alt-text and/or Long Description)</v>
      </c>
      <c r="D32" s="3" t="str">
        <v>A red two-peak Gaussian mixture becomes a broader, lower blue density under heat flow. See long description.</v>
      </c>
      <c r="E32" s="4" t="n">
        <f t="shared" si="0">IF(NOT(D32=""),LEN(D32),"")</f>
        <v>108</v>
      </c>
      <c r="F32" s="3" t="str">
        <v>Density is plotted vertically against position. Initially narrow peaks near the left and right sides become lower and overlap more strongly. The central valley gradually fills. The displayed curves come from continuous heat diffusion, with component variances increased by twice the elapsed time.</v>
      </c>
      <c r="G32" s="4" t="n">
        <f t="shared" si="0">IF(NOT(F32=""),LEN(F32),"")</f>
        <v>296</v>
      </c>
    </row>
    <row r="33" spans="1:7" ht="75" customHeight="1">
      <c r="A33" s="3" t="str">
        <v>Figure</v>
      </c>
      <c r="B33" s="3" t="str">
        <v>Fig 3.1, right</v>
      </c>
      <c r="C33" s="3" t="str">
        <v>Image (Alt-text and/or Long Description)</v>
      </c>
      <c r="D33" s="3" t="str">
        <v>Fixed probability ranks trace ordered position curves as the heat-flow distribution spreads with time. See long description.</v>
      </c>
      <c r="E33" s="4" t="n">
        <f t="shared" si="0">IF(NOT(D33=""),LEN(D33),"")</f>
        <v>124</v>
      </c>
      <c r="F33" s="3" t="str">
        <v>Time runs horizontally to about 0.4 and quantile position is vertical. Red points show initial ranks and blue points their later positions. Outer ranks move away from the center and the curves remain ordered. The plot gives a particle-like description of the same spreading density shown on the left.</v>
      </c>
      <c r="G33" s="4" t="n">
        <f t="shared" si="0">IF(NOT(F33=""),LEN(F33),"")</f>
        <v>300</v>
      </c>
    </row>
    <row r="34" spans="1:7" ht="155" customHeight="1">
      <c r="A34" s="3" t="str">
        <v>Figure</v>
      </c>
      <c r="B34" s="3" t="str">
        <v>Fig 3.2</v>
      </c>
      <c r="C34" s="3" t="str">
        <v>Figure group (see instructions)</v>
      </c>
      <c r="D34" s="3"/>
      <c r="E34" s="4" t="str">
        <f t="shared" si="0">IF(NOT(D34=""),LEN(D34),"")</f>
      </c>
      <c r="F34" s="3" t="str">
        <v>Three position-versus-density plots start from the same narrow, compactly supported red bump and compare entropy-driven Wasserstein gradient flows. Curves become blue with time. The left heat-flow panel develops broad smooth tails and a falling central peak. The middle porous-medium panel, with power two, has a widening compact support and a rounded profile that reaches zero at a moving boundary. The right panel, with power six, becomes distinctly flatter across its center and has much steeper sides. The comparison shows how the choice of internal energy changes the diffusion law and its free-boundary geometry. The panels illustrate profile shape, not a universal ranking of convergence speeds.</v>
      </c>
      <c r="G34" s="4" t="n">
        <f t="shared" si="0">IF(NOT(F34=""),LEN(F34),"")</f>
        <v>702</v>
      </c>
    </row>
    <row r="35" spans="1:7" ht="62" customHeight="1">
      <c r="A35" s="3" t="str">
        <v>Figure</v>
      </c>
      <c r="B35" s="3" t="str">
        <v>Fig 3.2, left</v>
      </c>
      <c r="C35" s="3" t="str">
        <v>Image (Alt-text and/or Long Description)</v>
      </c>
      <c r="D35" s="3" t="str">
        <v>Heat diffusion lowers and broadens the initial red bump, producing smooth tails in later blue profiles. See long description.</v>
      </c>
      <c r="E35" s="4" t="n">
        <f t="shared" si="0">IF(NOT(D35=""),LEN(D35),"")</f>
        <v>125</v>
      </c>
      <c r="F35" s="3" t="str">
        <v>Position is horizontal and density vertical. The peak stays centered while its height decreases. Later curves extend beyond the compact support of the initial bump. This is the Wasserstein flow of Shannon entropy, whose density solves the heat equation.</v>
      </c>
      <c r="G35" s="4" t="n">
        <f t="shared" si="0">IF(NOT(F35=""),LEN(F35),"")</f>
        <v>253</v>
      </c>
    </row>
    <row r="36" spans="1:7" ht="62" customHeight="1">
      <c r="A36" s="3" t="str">
        <v>Figure</v>
      </c>
      <c r="B36" s="3" t="str">
        <v>Fig 3.2, middle</v>
      </c>
      <c r="C36" s="3" t="str">
        <v>Image (Alt-text and/or Long Description)</v>
      </c>
      <c r="D36" s="3" t="str">
        <v>The porous-medium flow with power two spreads into a wider compact profile with a rounded core and moving edges. See long description.</v>
      </c>
      <c r="E36" s="4" t="n">
        <f t="shared" si="0">IF(NOT(D36=""),LEN(D36),"")</f>
        <v>134</v>
      </c>
      <c r="F36" s="3" t="str">
        <v>The initial red bump evolves through intermediate colors to a lower blue profile. The density reaches zero at finite positions, leaving a free boundary on either side. Its equation is the time derivative of density equal to the Laplacian of density squared.</v>
      </c>
      <c r="G36" s="4" t="n">
        <f t="shared" si="0">IF(NOT(F36=""),LEN(F36),"")</f>
        <v>257</v>
      </c>
    </row>
    <row r="37" spans="1:7" ht="62" customHeight="1">
      <c r="A37" s="3" t="str">
        <v>Figure</v>
      </c>
      <c r="B37" s="3" t="str">
        <v>Fig 3.2, right</v>
      </c>
      <c r="C37" s="3" t="str">
        <v>Image (Alt-text and/or Long Description)</v>
      </c>
      <c r="D37" s="3" t="str">
        <v>The power-six porous-medium flow forms a flat central region with steep sides and finite support. See long description.</v>
      </c>
      <c r="E37" s="4" t="n">
        <f t="shared" si="0">IF(NOT(D37=""),LEN(D37),"")</f>
        <v>119</v>
      </c>
      <c r="F37" s="3" t="str">
        <v>Later blue profiles resemble flattened caps with nearly vertical sides, unlike the long-tailed heat profiles and the more rounded power-two profiles. The equation uses the Laplacian of the sixth power of density. Color records time within this panel.</v>
      </c>
      <c r="G37" s="4" t="n">
        <f t="shared" si="0">IF(NOT(F37=""),LEN(F37),"")</f>
        <v>250</v>
      </c>
    </row>
    <row r="38" spans="1:7" ht="168" customHeight="1">
      <c r="A38" s="3" t="str">
        <v>Figure</v>
      </c>
      <c r="B38" s="3" t="str">
        <v>Fig 3.3</v>
      </c>
      <c r="C38" s="3" t="str">
        <v>Figure group (see instructions)</v>
      </c>
      <c r="D38" s="3"/>
      <c r="E38" s="4" t="str">
        <f t="shared" si="0">IF(NOT(D38=""),LEN(D38),"")</f>
      </c>
      <c r="F38" s="3" t="str">
        <v>Three planar particle-flow plots use 10, 50 and 300 particles from left to right to approximate the same smooth two-component Gaussian teacher. Thin gray closed contours show the teacher density, with an upper tilted mode and a lower-right elongated mode. Red initial particles form a compact cloud to the left. Selected colored trajectories lead toward blue final particles distributed around the two modes. With ten particles the final approximation is sparse; fifty populate the two components more fully; three hundred resolve their shapes and surrounding spread. The energy-distance interaction both attracts particles toward the teacher and accounts for their collective distribution. The contours depict a continuous target, not a second finite cloud.</v>
      </c>
      <c r="G38" s="4" t="n">
        <f t="shared" si="0">IF(NOT(F38=""),LEN(F38),"")</f>
        <v>758</v>
      </c>
    </row>
    <row r="39" spans="1:7" ht="62" customHeight="1">
      <c r="A39" s="3" t="str">
        <v>Figure</v>
      </c>
      <c r="B39" s="3" t="str">
        <v>Fig 3.3, left</v>
      </c>
      <c r="C39" s="3" t="str">
        <v>Image (Alt-text and/or Long Description)</v>
      </c>
      <c r="D39" s="3" t="str">
        <v>Ten particles move from a red cloud toward two gray-contoured target modes, leaving a sparse blue approximation. See long description.</v>
      </c>
      <c r="E39" s="4" t="n">
        <f t="shared" si="0">IF(NOT(D39=""),LEN(D39),"")</f>
        <v>134</v>
      </c>
      <c r="F39" s="3" t="str">
        <v>The initial particles lie left of the two target modes. Colored paths end at a small number of blue points in the upper and lower-right contours. The very low particle count gives only a coarse quadrature of the continuous Gaussian-mixture target.</v>
      </c>
      <c r="G39" s="4" t="n">
        <f t="shared" si="0">IF(NOT(F39=""),LEN(F39),"")</f>
        <v>247</v>
      </c>
    </row>
    <row r="40" spans="1:7" ht="62" customHeight="1">
      <c r="A40" s="3" t="str">
        <v>Figure</v>
      </c>
      <c r="B40" s="3" t="str">
        <v>Fig 3.3, middle</v>
      </c>
      <c r="C40" s="3" t="str">
        <v>Image (Alt-text and/or Long Description)</v>
      </c>
      <c r="D40" s="3" t="str">
        <v>Fifty particles populate both target modes more fully after following curved paths from the red initial cloud. See long description.</v>
      </c>
      <c r="E40" s="4" t="n">
        <f t="shared" si="0">IF(NOT(D40=""),LEN(D40),"")</f>
        <v>132</v>
      </c>
      <c r="F40" s="3" t="str">
        <v>Red points start in a compact cloud on the left. Blue endpoints cover the two teacher-density components, whose shapes are indicated by gray contours. Representative paths show how the initially concentrated mass separates into the two components.</v>
      </c>
      <c r="G40" s="4" t="n">
        <f t="shared" si="0">IF(NOT(F40=""),LEN(F40),"")</f>
        <v>247</v>
      </c>
    </row>
    <row r="41" spans="1:7" ht="62" customHeight="1">
      <c r="A41" s="3" t="str">
        <v>Figure</v>
      </c>
      <c r="B41" s="3" t="str">
        <v>Fig 3.3, right</v>
      </c>
      <c r="C41" s="3" t="str">
        <v>Image (Alt-text and/or Long Description)</v>
      </c>
      <c r="D41" s="3" t="str">
        <v>Three hundred particles resolve the spread and anisotropic shapes of the two target modes more densely. See long description.</v>
      </c>
      <c r="E41" s="4" t="n">
        <f t="shared" si="0">IF(NOT(D41=""),LEN(D41),"")</f>
        <v>125</v>
      </c>
      <c r="F41" s="3" t="str">
        <v>The same teacher contours and displaced initialization are used with many more particles. Blue points fill both modes and some surrounding low-density regions. Only a thinned set of faint trajectories is drawn to keep the dense particle display legible.</v>
      </c>
      <c r="G41" s="4" t="n">
        <f t="shared" si="0">IF(NOT(F41=""),LEN(F41),"")</f>
        <v>253</v>
      </c>
    </row>
    <row r="42" spans="1:7" ht="168" customHeight="1">
      <c r="A42" s="3" t="str">
        <v>Figure</v>
      </c>
      <c r="B42" s="3" t="str">
        <v>Fig 3.4</v>
      </c>
      <c r="C42" s="3" t="str">
        <v>Figure group (see instructions)</v>
      </c>
      <c r="D42" s="3"/>
      <c r="E42" s="4" t="str">
        <f t="shared" si="0">IF(NOT(D42=""),LEN(D42),"")</f>
      </c>
      <c r="F42" s="3" t="str">
        <v>Three density plots compare Wasserstein gradient flows toward the same two-mode target, drawn as a dashed black curve. Red-to-blue curves are successive source densities. The energy-distance flow at left changes the mass profile across the intervening positions. The Wasserstein-distance flow in the middle moves quantile particles, producing visibly translating peaks. The relative-entropy flow at right changes peak heights and fills or removes mass between the target modes through a reversible Fokker--Planck evolution. All panels use a common source and target but different discrepancy functionals. The first two descend unsquared distances, while the third descends relative entropy, so the overlaid snapshots illustrate distinct evolutions rather than directly comparable convergence rates.</v>
      </c>
      <c r="G42" s="4" t="n">
        <f t="shared" si="0">IF(NOT(F42=""),LEN(F42),"")</f>
        <v>798</v>
      </c>
    </row>
    <row r="43" spans="1:7" ht="75" customHeight="1">
      <c r="A43" s="3" t="str">
        <v>Figure</v>
      </c>
      <c r="B43" s="3" t="str">
        <v>Fig 3.4, left</v>
      </c>
      <c r="C43" s="3" t="str">
        <v>Image (Alt-text and/or Long Description)</v>
      </c>
      <c r="D43" s="3" t="str">
        <v>Energy-distance descent reshapes the red source density toward a dashed two-mode target through intermediate profiles. See long description.</v>
      </c>
      <c r="E43" s="4" t="n">
        <f t="shared" ref="E43:E102" si="1">IF(NOT(D43=""),LEN(D43),"")</f>
        <v>140</v>
      </c>
      <c r="F43" s="3" t="str">
        <v>The source initially has a strong peak at the left and additional peaks farther right. Intermediate curves redistribute the density over a broad interval before approaching the target modes. Red-to-blue color follows time. This panel descends the unsquared energy distance using equal-weight particles.</v>
      </c>
      <c r="G43" s="4" t="n">
        <f t="shared" ref="G43:G102" si="2">IF(NOT(F43=""),LEN(F43),"")</f>
        <v>302</v>
      </c>
    </row>
    <row r="44" spans="1:7" ht="75" customHeight="1">
      <c r="A44" s="3" t="str">
        <v>Figure</v>
      </c>
      <c r="B44" s="3" t="str">
        <v>Fig 3.4, middle</v>
      </c>
      <c r="C44" s="3" t="str">
        <v>Image (Alt-text and/or Long Description)</v>
      </c>
      <c r="D44" s="3" t="str">
        <v>Wasserstein-distance descent moves quantile particles, creating peaks that travel across the position axis toward the target. See long description.</v>
      </c>
      <c r="E44" s="4" t="n">
        <f t="shared" si="1">IF(NOT(D44=""),LEN(D44),"")</f>
        <v>147</v>
      </c>
      <c r="F44" s="3" t="str">
        <v>Successive narrow density peaks visibly translate between the initial and target positions. The target density is dashed black and later profiles are blue. The dynamics uses the one-dimensional monotone correspondence and descends the unsquared quadratic Wasserstein distance.</v>
      </c>
      <c r="G44" s="4" t="n">
        <f t="shared" si="2">IF(NOT(F44=""),LEN(F44),"")</f>
        <v>276</v>
      </c>
    </row>
    <row r="45" spans="1:7" ht="75" customHeight="1">
      <c r="A45" s="3" t="str">
        <v>Figure</v>
      </c>
      <c r="B45" s="3" t="str">
        <v>Fig 3.4, right</v>
      </c>
      <c r="C45" s="3" t="str">
        <v>Image (Alt-text and/or Long Description)</v>
      </c>
      <c r="D45" s="3" t="str">
        <v>Relative-entropy descent changes the source peaks toward the dashed target through a reversible Fokker--Planck flow. See long description.</v>
      </c>
      <c r="E45" s="4" t="n">
        <f t="shared" si="1">IF(NOT(D45=""),LEN(D45),"")</f>
        <v>138</v>
      </c>
      <c r="F45" s="3" t="str">
        <v>The initially tall left peak decreases, while the two target-aligned peaks gain the appropriate relative mass. The curves change from red to blue. An implicit finite-volume computation uses the target density as its discrete stationary density; this is the relative-entropy flow rather than quantile interpolation.</v>
      </c>
      <c r="G45" s="4" t="n">
        <f t="shared" si="2">IF(NOT(F45=""),LEN(F45),"")</f>
        <v>314</v>
      </c>
    </row>
    <row r="46" spans="1:7" ht="168" customHeight="1">
      <c r="A46" s="3" t="str">
        <v>Figure</v>
      </c>
      <c r="B46" s="3" t="str">
        <v>Fig 3.5</v>
      </c>
      <c r="C46" s="3" t="str">
        <v>Figure group (see instructions)</v>
      </c>
      <c r="D46" s="3"/>
      <c r="E46" s="4" t="str">
        <f t="shared" si="1">IF(NOT(D46=""),LEN(D46),"")</f>
      </c>
      <c r="F46" s="3" t="str">
        <v>Three planar interaction flows begin from the same roughly circular ring of red particles. Paths connect the red initial positions to blue final positions. A positive Gaussian interaction kernel in the left panel makes particles repel and spread far outside the starting ring. Reversing the kernel's sign in the middle panel makes trajectories converge toward a common central cluster. Adding quadratic long-range attraction to the repulsive kernel in the right panel retains a dispersed but bounded arrangement near the original scale. The diagrams distinguish short-range repulsion, attraction-driven collapse and a balance of attraction with repulsion. Path colors progress from red to blue by arclength, so they do not define a shared physical-time scale across the panels.</v>
      </c>
      <c r="G46" s="4" t="n">
        <f t="shared" si="2">IF(NOT(F46=""),LEN(F46),"")</f>
        <v>777</v>
      </c>
    </row>
    <row r="47" spans="1:7" ht="62" customHeight="1">
      <c r="A47" s="3" t="str">
        <v>Figure</v>
      </c>
      <c r="B47" s="3" t="str">
        <v>Fig 3.5, left</v>
      </c>
      <c r="C47" s="3" t="str">
        <v>Image (Alt-text and/or Long Description)</v>
      </c>
      <c r="D47" s="3" t="str">
        <v>A positive Gaussian interaction sends particles outward from a red ring to a much larger blue configuration. See long description.</v>
      </c>
      <c r="E47" s="4" t="n">
        <f t="shared" si="1">IF(NOT(D47=""),LEN(D47),"")</f>
        <v>130</v>
      </c>
      <c r="F47" s="3" t="str">
        <v>Curved paths radiate from the initial ring. Final blue positions lie well outside it, displaying repulsion under Wasserstein descent of the positive Gaussian interaction energy. Color follows distance traveled along each curve rather than a common physical-time clock.</v>
      </c>
      <c r="G47" s="4" t="n">
        <f t="shared" si="2">IF(NOT(F47=""),LEN(F47),"")</f>
        <v>268</v>
      </c>
    </row>
    <row r="48" spans="1:7" ht="49" customHeight="1">
      <c r="A48" s="3" t="str">
        <v>Figure</v>
      </c>
      <c r="B48" s="3" t="str">
        <v>Fig 3.5, middle</v>
      </c>
      <c r="C48" s="3" t="str">
        <v>Image (Alt-text and/or Long Description)</v>
      </c>
      <c r="D48" s="3" t="str">
        <v>Negating the Gaussian interaction makes the red ring collapse toward a blue cluster at its center. See long description.</v>
      </c>
      <c r="E48" s="4" t="n">
        <f t="shared" si="1">IF(NOT(D48=""),LEN(D48),"")</f>
        <v>120</v>
      </c>
      <c r="F48" s="3" t="str">
        <v>Almost radial paths run inward from the initial red ring. The final blue particles are concentrated near the center. This reverses the sign of the left panel's interaction and therefore changes repulsion into attraction.</v>
      </c>
      <c r="G48" s="4" t="n">
        <f t="shared" si="2">IF(NOT(F48=""),LEN(F48),"")</f>
        <v>220</v>
      </c>
    </row>
    <row r="49" spans="1:7" ht="75" customHeight="1">
      <c r="A49" s="3" t="str">
        <v>Figure</v>
      </c>
      <c r="B49" s="3" t="str">
        <v>Fig 3.5, right</v>
      </c>
      <c r="C49" s="3" t="str">
        <v>Image (Alt-text and/or Long Description)</v>
      </c>
      <c r="D49" s="3" t="str">
        <v>Short-range repulsion combined with long-range quadratic attraction gives a bounded, spread-out blue arrangement. See long description.</v>
      </c>
      <c r="E49" s="4" t="n">
        <f t="shared" si="1">IF(NOT(D49=""),LEN(D49),"")</f>
        <v>135</v>
      </c>
      <c r="F49" s="3" t="str">
        <v>The red initial ring is connected to blue endpoints that remain distributed near its scale. Particles avoid central collapse, while the added attraction limits the large outward expansion seen with repulsion alone. The result illustrates the competing effects of the two interaction terms.</v>
      </c>
      <c r="G49" s="4" t="n">
        <f t="shared" si="2">IF(NOT(F49=""),LEN(F49),"")</f>
        <v>289</v>
      </c>
    </row>
    <row r="50" spans="1:7" ht="168" customHeight="1">
      <c r="A50" s="3" t="str">
        <v>Figure</v>
      </c>
      <c r="B50" s="3" t="str">
        <v>Fig 3.6</v>
      </c>
      <c r="C50" s="3" t="str">
        <v>Figure group (see instructions)</v>
      </c>
      <c r="D50" s="3"/>
      <c r="E50" s="4" t="str">
        <f t="shared" si="1">IF(NOT(D50=""),LEN(D50),"")</f>
      </c>
      <c r="F50" s="3" t="str">
        <v>Three planar diagrams use the same two-component source on the left and target cloud on the right. Red points mark initial particles, pale blue points the target, and purple points the displayed terminal particle positions. The left diagram connects matched source and target points by straight optimal-transport rays. The middle uses a kernel witness field and produces curved trajectories, some moving away from the target or stopping short at the displayed time. The right uses a normalized attraction and self-repulsion drifting field, giving long rightward paths that bend near the two target clusters. The comparison illustrates differences in trajectory geometry and interactions; it does not assert that the three methods have equal elapsed time, accuracy or solver cost.</v>
      </c>
      <c r="G50" s="4" t="n">
        <f t="shared" si="2">IF(NOT(F50=""),LEN(F50),"")</f>
        <v>779</v>
      </c>
    </row>
    <row r="51" spans="1:7" ht="62" customHeight="1">
      <c r="A51" s="3" t="str">
        <v>Figure</v>
      </c>
      <c r="B51" s="3" t="str">
        <v>Fig 3.6, left</v>
      </c>
      <c r="C51" s="3" t="str">
        <v>Image (Alt-text and/or Long Description)</v>
      </c>
      <c r="D51" s="3" t="str">
        <v>An optimal matching sends the two red source groups to the target by straight, nearly parallel transport rays. See long description.</v>
      </c>
      <c r="E51" s="4" t="n">
        <f t="shared" si="1">IF(NOT(D51=""),LEN(D51),"")</f>
        <v>132</v>
      </c>
      <c r="F51" s="3" t="str">
        <v>Source points lie in two groups on the left. Each is joined to its matched target position on the right by a straight segment. Purple terminal markers coincide with the corresponding target positions in this transport construction.</v>
      </c>
      <c r="G51" s="4" t="n">
        <f t="shared" si="2">IF(NOT(F51=""),LEN(F51),"")</f>
        <v>231</v>
      </c>
    </row>
    <row r="52" spans="1:7" ht="62" customHeight="1">
      <c r="A52" s="3" t="str">
        <v>Figure</v>
      </c>
      <c r="B52" s="3" t="str">
        <v>Fig 3.6, middle</v>
      </c>
      <c r="C52" s="3" t="str">
        <v>Image (Alt-text and/or Long Description)</v>
      </c>
      <c r="D52" s="3" t="str">
        <v>A kernel witness field produces curved particle paths that remain spread around the target at the displayed time. See long description.</v>
      </c>
      <c r="E52" s="4" t="n">
        <f t="shared" si="1">IF(NOT(D52=""),LEN(D52),"")</f>
        <v>135</v>
      </c>
      <c r="F52" s="3" t="str">
        <v>The source and target are unchanged. Some trajectories initially bend outward, and the purple terminal particles do not all reach the pale blue target cloud. The field depends on kernel interactions rather than a fixed optimal matching.</v>
      </c>
      <c r="G52" s="4" t="n">
        <f t="shared" si="2">IF(NOT(F52=""),LEN(F52),"")</f>
        <v>236</v>
      </c>
    </row>
    <row r="53" spans="1:7" ht="62" customHeight="1">
      <c r="A53" s="3" t="str">
        <v>Figure</v>
      </c>
      <c r="B53" s="3" t="str">
        <v>Fig 3.6, right</v>
      </c>
      <c r="C53" s="3" t="str">
        <v>Image (Alt-text and/or Long Description)</v>
      </c>
      <c r="D53" s="3" t="str">
        <v>A normalized drifting field moves particles rightward and bends their paths near the two target clusters. See long description.</v>
      </c>
      <c r="E53" s="4" t="n">
        <f t="shared" si="1">IF(NOT(D53=""),LEN(D53),"")</f>
        <v>127</v>
      </c>
      <c r="F53" s="3" t="str">
        <v>Curves start at the red source points and approach the pale blue target cloud. Purple endpoints cluster near the upper and lower target groups. The prescribed field combines normalized attraction to data with self-repulsion among the evolving particles.</v>
      </c>
      <c r="G53" s="4" t="n">
        <f t="shared" si="2">IF(NOT(F53=""),LEN(F53),"")</f>
        <v>253</v>
      </c>
    </row>
    <row r="54" spans="1:7" ht="168" customHeight="1">
      <c r="A54" s="3" t="str">
        <v>Figure</v>
      </c>
      <c r="B54" s="3" t="str">
        <v>Fig 3.7</v>
      </c>
      <c r="C54" s="3" t="str">
        <v>Figure group (see instructions)</v>
      </c>
      <c r="D54" s="3"/>
      <c r="E54" s="4" t="str">
        <f t="shared" si="1">IF(NOT(D54=""),LEN(D54),"")</f>
      </c>
      <c r="F54" s="3" t="str">
        <v>Three rows compare numerical representations of the same relative-entropy Wasserstein gradient flow toward a two-mode Gaussian-mixture target. Gray contours fix the target at the right of the initial round cloud. Columns show the path or initial state, then times 0.06, 0.16, 0.55 and 2.40. The top row uses Langevin particles and has irregular, noisy trajectories. The middle row uses deterministic particles with a density-score estimate, giving smooth representative paths. The bottom row displays a Fokker--Planck grid density. Across rows, the initial red mass moves right, elongates and develops the target's two components; later displays are blue. The agreement concerns the evolving law, although the individual stochastic paths, deterministic paths and density-grid representation differ.</v>
      </c>
      <c r="G54" s="4" t="n">
        <f t="shared" si="2">IF(NOT(F54=""),LEN(F54),"")</f>
        <v>798</v>
      </c>
    </row>
    <row r="55" spans="1:7" ht="75" customHeight="1">
      <c r="A55" s="3" t="str">
        <v>Figure</v>
      </c>
      <c r="B55" s="3" t="str">
        <v>Fig 3.7, top row</v>
      </c>
      <c r="C55" s="3" t="str">
        <v>Image (Alt-text and/or Long Description)</v>
      </c>
      <c r="D55" s="3" t="str">
        <v>Langevin trajectories and four particle snapshots show a noisy cloud moving toward a fixed two-mode target. See long description.</v>
      </c>
      <c r="E55" s="4" t="n">
        <f t="shared" si="1">IF(NOT(D55=""),LEN(D55),"")</f>
        <v>129</v>
      </c>
      <c r="F55" s="3" t="str">
        <v>The first small panel overlays selected stochastic paths on the fixed target contours. Subsequent particle clouds at times 0.06, 0.16, 0.55 and 2.40 change from red to blue and move toward the target's two tilted modes. Individual paths fluctuate even when the empirical law approaches the target.</v>
      </c>
      <c r="G55" s="4" t="n">
        <f t="shared" si="2">IF(NOT(F55=""),LEN(F55),"")</f>
        <v>297</v>
      </c>
    </row>
    <row r="56" spans="1:7" ht="75" customHeight="1">
      <c r="A56" s="3" t="str">
        <v>Figure</v>
      </c>
      <c r="B56" s="3" t="str">
        <v>Fig 3.7, middle row</v>
      </c>
      <c r="C56" s="3" t="str">
        <v>Image (Alt-text and/or Long Description)</v>
      </c>
      <c r="D56" s="3" t="str">
        <v>Deterministic score-based particles follow smooth paths and form two target-aligned groups in later snapshots. See long description.</v>
      </c>
      <c r="E56" s="4" t="n">
        <f t="shared" si="1">IF(NOT(D56=""),LEN(D56),"")</f>
        <v>132</v>
      </c>
      <c r="F56" s="3" t="str">
        <v>The first small panel shows selected smooth paths. The next four show particle positions at the same times as the top row. The velocity contains a kernel-density estimate of the evolving density score. The particles collectively approximate the same Fokker--Planck law without independent Brownian forcing.</v>
      </c>
      <c r="G56" s="4" t="n">
        <f t="shared" si="2">IF(NOT(F56=""),LEN(F56),"")</f>
        <v>306</v>
      </c>
    </row>
    <row r="57" spans="1:7" ht="62" customHeight="1">
      <c r="A57" s="3" t="str">
        <v>Figure</v>
      </c>
      <c r="B57" s="3" t="str">
        <v>Fig 3.7, bottom row</v>
      </c>
      <c r="C57" s="3" t="str">
        <v>Image (Alt-text and/or Long Description)</v>
      </c>
      <c r="D57" s="3" t="str">
        <v>Five grid-density snapshots move a round red bump rightward and deform it into a blue bimodal density. See long description.</v>
      </c>
      <c r="E57" s="4" t="n">
        <f t="shared" si="1">IF(NOT(D57=""),LEN(D57),"")</f>
        <v>124</v>
      </c>
      <c r="F57" s="3" t="str">
        <v>The row begins at time zero, then shows times 0.06, 0.16, 0.55 and 2.40. Gray target contours stay fixed. The evolving colored density shifts, stretches and separates into two tilted modes, giving an Eulerian grid representation of the law represented by particles in the other rows.</v>
      </c>
      <c r="G57" s="4" t="n">
        <f t="shared" si="2">IF(NOT(F57=""),LEN(F57),"")</f>
        <v>283</v>
      </c>
    </row>
    <row r="58" spans="1:7" ht="168" customHeight="1">
      <c r="A58" s="3" t="str">
        <v>Figure</v>
      </c>
      <c r="B58" s="3" t="str">
        <v>Fig 3.8</v>
      </c>
      <c r="C58" s="3" t="str">
        <v>Figure group (see instructions)</v>
      </c>
      <c r="D58" s="3"/>
      <c r="E58" s="4" t="str">
        <f t="shared" si="1">IF(NOT(D58=""),LEN(D58),"")</f>
      </c>
      <c r="F58" s="3" t="str">
        <v>Two panels show training a homogeneous two-layer ReLU model by moving a distribution of neurons. At left, a red initial cloud near the origin follows curved paths toward three black dashed teacher rays. Blue terminal points spread along these rays in reduced coordinates that multiply each input-weight vector by the absolute output weight. The right plot shows weighted angular density on the interval from zero to two pi. Early red curves are broad and irregular; later blue curves form three sharp peaks at the dashed teacher directions. Thus the evolving neuron law identifies the teacher's preferred directions. The illustrated particle computation includes step normalization and bounded-parameter projection, rather than depicting an unmodified exact continuum flow.</v>
      </c>
      <c r="G58" s="4" t="n">
        <f t="shared" si="2">IF(NOT(F58=""),LEN(F58),"")</f>
        <v>773</v>
      </c>
    </row>
    <row r="59" spans="1:7" ht="75" customHeight="1">
      <c r="A59" s="3" t="str">
        <v>Figure</v>
      </c>
      <c r="B59" s="3" t="str">
        <v>Fig 3.8, left</v>
      </c>
      <c r="C59" s="3" t="str">
        <v>Image (Alt-text and/or Long Description)</v>
      </c>
      <c r="D59" s="3" t="str">
        <v>Neuron particles leave a red cloud and align along three dashed teacher directions, ending at blue points. See long description.</v>
      </c>
      <c r="E59" s="4" t="n">
        <f t="shared" si="1">IF(NOT(D59=""),LEN(D59),"")</f>
        <v>128</v>
      </c>
      <c r="F59" s="3" t="str">
        <v>The two plotted coordinates are the first and second input-weight components multiplied by the absolute output weight. Colored training paths leave the central cloud and gather near three rays, one pointing upper-left, one upper-right and one downward. The rays encode the teacher model's directions.</v>
      </c>
      <c r="G59" s="4" t="n">
        <f t="shared" si="2">IF(NOT(F59=""),LEN(F59),"")</f>
        <v>300</v>
      </c>
    </row>
    <row r="60" spans="1:7" ht="75" customHeight="1">
      <c r="A60" s="3" t="str">
        <v>Figure</v>
      </c>
      <c r="B60" s="3" t="str">
        <v>Fig 3.8, right</v>
      </c>
      <c r="C60" s="3" t="str">
        <v>Image (Alt-text and/or Long Description)</v>
      </c>
      <c r="D60" s="3" t="str">
        <v>Weighted neuron-angle densities develop three narrow blue peaks at dashed teacher directions. See long description.</v>
      </c>
      <c r="E60" s="4" t="n">
        <f t="shared" si="1">IF(NOT(D60=""),LEN(D60),"")</f>
        <v>115</v>
      </c>
      <c r="F60" s="3" t="str">
        <v>Angle runs from zero to two pi on the horizontal axis. Early red density curves are diffuse and have additional peaks. Later curves become sharply concentrated at the three vertical dashed lines. The angular density is weighted by neuron magnitude, so it records more than the unweighted count of neurons at each angle.</v>
      </c>
      <c r="G60" s="4" t="n">
        <f t="shared" si="2">IF(NOT(F60=""),LEN(F60),"")</f>
        <v>319</v>
      </c>
    </row>
    <row r="61" spans="1:7" ht="168" customHeight="1">
      <c r="A61" s="3" t="str">
        <v>Figure</v>
      </c>
      <c r="B61" s="3" t="str">
        <v>Fig 4.1</v>
      </c>
      <c r="C61" s="3" t="str">
        <v>Figure group (see instructions)</v>
      </c>
      <c r="D61" s="3"/>
      <c r="E61" s="4" t="str">
        <f t="shared" si="1">IF(NOT(D61=""),LEN(D61),"")</f>
      </c>
      <c r="F61" s="3" t="str">
        <v>Three planar diagrams connect identical red source points on the left to identical blue target points on the right using different flow-matching interpolants. Random source-target pairing in the left panel gives straight paths with many crossings between the two groups. Quadratic optimal pairing in the middle gives direct, ordered displacement rays with far fewer crossings. The right panel uses the same endpoints but arches the paths upward, changing the intermediate velocity field. Gray arrows tangent to representative paths mark midpoint velocities. This comparison separates the choice of endpoint coupling from the choice of path between a paired source and target. Flow matching can learn a velocity for each such construction, even though the resulting paths need not be Wasserstein geodesics.</v>
      </c>
      <c r="G61" s="4" t="n">
        <f t="shared" si="2">IF(NOT(F61=""),LEN(F61),"")</f>
        <v>805</v>
      </c>
    </row>
    <row r="62" spans="1:7" ht="62" customHeight="1">
      <c r="A62" s="3" t="str">
        <v>Figure</v>
      </c>
      <c r="B62" s="3" t="str">
        <v>Fig 4.1, left</v>
      </c>
      <c r="C62" s="3" t="str">
        <v>Image (Alt-text and/or Long Description)</v>
      </c>
      <c r="D62" s="3" t="str">
        <v>Random endpoint pairing creates many crossing straight paths between the red source and blue target clouds. See long description.</v>
      </c>
      <c r="E62" s="4" t="n">
        <f t="shared" si="1">IF(NOT(D62=""),LEN(D62),"")</f>
        <v>129</v>
      </c>
      <c r="F62" s="3" t="str">
        <v>The two clouds each contain an upper and a lower group. Several red upper points connect to lower blue points and vice versa, creating a dense central crossing region. Gray arrows indicate representative midpoint velocities along these straight paths.</v>
      </c>
      <c r="G62" s="4" t="n">
        <f t="shared" si="2">IF(NOT(F62=""),LEN(F62),"")</f>
        <v>251</v>
      </c>
    </row>
    <row r="63" spans="1:7" ht="62" customHeight="1">
      <c r="A63" s="3" t="str">
        <v>Figure</v>
      </c>
      <c r="B63" s="3" t="str">
        <v>Fig 4.1, middle</v>
      </c>
      <c r="C63" s="3" t="str">
        <v>Image (Alt-text and/or Long Description)</v>
      </c>
      <c r="D63" s="3" t="str">
        <v>An optimal-transport pairing joins the same endpoints by direct displacement rays, largely preserving their two-group arrangement. See long description.</v>
      </c>
      <c r="E63" s="4" t="n">
        <f t="shared" si="1">IF(NOT(D63=""),LEN(D63),"")</f>
        <v>152</v>
      </c>
      <c r="F63" s="3" t="str">
        <v>Straight segments connect upper source points to upper targets and lower source points to lower targets. Compared with random pairing, the central crossing region disappears. The gray arrows are constant-velocity midpoint directions for the selected matched pairs.</v>
      </c>
      <c r="G63" s="4" t="n">
        <f t="shared" si="2">IF(NOT(F63=""),LEN(F63),"")</f>
        <v>264</v>
      </c>
    </row>
    <row r="64" spans="1:7" ht="75" customHeight="1">
      <c r="A64" s="3" t="str">
        <v>Figure</v>
      </c>
      <c r="B64" s="3" t="str">
        <v>Fig 4.1, right</v>
      </c>
      <c r="C64" s="3" t="str">
        <v>Image (Alt-text and/or Long Description)</v>
      </c>
      <c r="D64" s="3" t="str">
        <v>Curved bridges arch between the same endpoint clouds, with gray arrows tangent to the paths at their midpoints. See long description.</v>
      </c>
      <c r="E64" s="4" t="n">
        <f t="shared" si="1">IF(NOT(D64=""),LEN(D64),"")</f>
        <v>133</v>
      </c>
      <c r="F64" s="3" t="str">
        <v>Paths bend upward between the red and blue endpoints. Their intermediate positions and velocities differ from the straight optimal-transport interpolant despite having the same endpoints. The diagram shows that prescribing endpoint distributions does not determine the full interpolation.</v>
      </c>
      <c r="G64" s="4" t="n">
        <f t="shared" si="2">IF(NOT(F64=""),LEN(F64),"")</f>
        <v>288</v>
      </c>
    </row>
    <row r="65" spans="1:7" ht="155" customHeight="1">
      <c r="A65" s="3" t="str">
        <v>Figure</v>
      </c>
      <c r="B65" s="3" t="str">
        <v>Fig 4.2</v>
      </c>
      <c r="C65" s="3" t="str">
        <v>Figure group (see instructions)</v>
      </c>
      <c r="D65" s="3"/>
      <c r="E65" s="4" t="str">
        <f t="shared" si="1">IF(NOT(D65=""),LEN(D65),"")</f>
      </c>
      <c r="F65" s="3" t="str">
        <v>Two rows of five planar density snapshots compare noising schedules with the same endpoints. Each begins with three red point masses at the vertices of a triangle. As the sequence advances left to right, each point broadens into a Gaussian component and its center moves toward the origin. The components overlap and end as a single blue Gaussian. The top row uses coefficients one minus t and t, so centers contract linearly while component standard deviation grows linearly. The bottom row uses cosine and sine coefficients from a time-rescaled Ornstein--Uhlenbeck process. At intermediate display times its centers remain farther apart and its density shape differs. Both rows illustrate the evolution of distributions, rather than individual sample trajectories.</v>
      </c>
      <c r="G65" s="4" t="n">
        <f t="shared" si="2">IF(NOT(F65=""),LEN(F65),"")</f>
        <v>766</v>
      </c>
    </row>
    <row r="66" spans="1:7" ht="62" customHeight="1">
      <c r="A66" s="3" t="str">
        <v>Figure</v>
      </c>
      <c r="B66" s="3" t="str">
        <v>Fig 4.2, top row</v>
      </c>
      <c r="C66" s="3" t="str">
        <v>Image (Alt-text and/or Long Description)</v>
      </c>
      <c r="D66" s="3" t="str">
        <v>Linear noising turns three red point masses into overlapping Gaussian components and then one blue Gaussian. See long description.</v>
      </c>
      <c r="E66" s="4" t="n">
        <f t="shared" si="1">IF(NOT(D66=""),LEN(D66),"")</f>
        <v>130</v>
      </c>
      <c r="F66" s="3" t="str">
        <v>Five snapshots run left to right. The three component centers contract with factor one minus t, while their common standard deviation grows proportionally to t. Small circular contours enlarge and merge as the triangular configuration collapses toward the origin.</v>
      </c>
      <c r="G66" s="4" t="n">
        <f t="shared" si="2">IF(NOT(F66=""),LEN(F66),"")</f>
        <v>263</v>
      </c>
    </row>
    <row r="67" spans="1:7" ht="75" customHeight="1">
      <c r="A67" s="3" t="str">
        <v>Figure</v>
      </c>
      <c r="B67" s="3" t="str">
        <v>Fig 4.2, bottom row</v>
      </c>
      <c r="C67" s="3" t="str">
        <v>Image (Alt-text and/or Long Description)</v>
      </c>
      <c r="D67" s="3" t="str">
        <v>A variance-preserving Ornstein--Uhlenbeck schedule has the same three-point and Gaussian endpoints but different intermediate densities. See long description.</v>
      </c>
      <c r="E67" s="4" t="n">
        <f t="shared" si="1">IF(NOT(D67=""),LEN(D67),"")</f>
        <v>158</v>
      </c>
      <c r="F67" s="3" t="str">
        <v>Five snapshots use cosine for center contraction and sine for noise amplitude. The intermediate components remain more separated at the displayed stages than in the linear schedule, before merging into the same centered blue Gaussian. The schedule is a reparametrized Ornstein--Uhlenbeck noising path.</v>
      </c>
      <c r="G67" s="4" t="n">
        <f t="shared" si="2">IF(NOT(F67=""),LEN(F67),"")</f>
        <v>301</v>
      </c>
    </row>
    <row r="68" spans="1:7" ht="168" customHeight="1">
      <c r="A68" s="3" t="str">
        <v>Figure</v>
      </c>
      <c r="B68" s="3" t="str">
        <v>Fig 4.3</v>
      </c>
      <c r="C68" s="3" t="str">
        <v>Figure group (see instructions)</v>
      </c>
      <c r="D68" s="3"/>
      <c r="E68" s="4" t="str">
        <f t="shared" si="1">IF(NOT(D68=""),LEN(D68),"")</f>
      </c>
      <c r="F68" s="3" t="str">
        <v>The left plot shows a forward noising path from a three-peaked red Gaussian-mixture density to a broad single-peaked blue Gaussian density. Position is horizontal and density vertical. Intermediate profiles blur the peaks and merge them. The right plot follows deterministic probability-flow trajectories in the reverse direction. Its horizontal time axis decreases from one on the left to zero on the right. Blue initial seeds representing the Gaussian endpoint move along ordered curves and collect into three separated groups of red data positions. Large gaps between the final groups correspond to low-density regions between mixture modes. Forward noising merges modes, while the reversed probability flow redistributes the Gaussian law back into the multimodal data distribution.</v>
      </c>
      <c r="G68" s="4" t="n">
        <f t="shared" si="2">IF(NOT(F68=""),LEN(F68),"")</f>
        <v>785</v>
      </c>
    </row>
    <row r="69" spans="1:7" ht="62" customHeight="1">
      <c r="A69" s="3" t="str">
        <v>Figure</v>
      </c>
      <c r="B69" s="3" t="str">
        <v>Fig 4.3, left</v>
      </c>
      <c r="C69" s="3" t="str">
        <v>Image (Alt-text and/or Long Description)</v>
      </c>
      <c r="D69" s="3" t="str">
        <v>Forward noising smooths three red density peaks into a single broad blue Gaussian bell. See long description.</v>
      </c>
      <c r="E69" s="4" t="n">
        <f t="shared" si="1">IF(NOT(D69=""),LEN(D69),"")</f>
        <v>109</v>
      </c>
      <c r="F69" s="3" t="str">
        <v>The vertical axis is density and the horizontal axis position. Curves at successive times lower and merge the original mixture's peaks. The evolution uses an independent Gaussian noise variable in a linear interpolant with the original data variable.</v>
      </c>
      <c r="G69" s="4" t="n">
        <f t="shared" si="2">IF(NOT(F69=""),LEN(F69),"")</f>
        <v>250</v>
      </c>
    </row>
    <row r="70" spans="1:7" ht="62" customHeight="1">
      <c r="A70" s="3" t="str">
        <v>Figure</v>
      </c>
      <c r="B70" s="3" t="str">
        <v>Fig 4.3, right</v>
      </c>
      <c r="C70" s="3" t="str">
        <v>Image (Alt-text and/or Long Description)</v>
      </c>
      <c r="D70" s="3" t="str">
        <v>Reverse probability-flow paths take blue Gaussian seeds into three groups of red data points as time decreases from one to zero. See long description.</v>
      </c>
      <c r="E70" s="4" t="n">
        <f t="shared" si="1">IF(NOT(D70=""),LEN(D70),"")</f>
        <v>150</v>
      </c>
      <c r="F70" s="3" t="str">
        <v>The horizontal axis reads reverse time, from 1 at the left to 0 at the right, and the vertical axis is particle position. The curves remain ordered and bend toward three groups. Their apparent grouping reflects the target's three modes, rather than branching of an individual trajectory.</v>
      </c>
      <c r="G70" s="4" t="n">
        <f t="shared" si="2">IF(NOT(F70=""),LEN(F70),"")</f>
        <v>287</v>
      </c>
    </row>
    <row r="71" spans="1:7" ht="181" customHeight="1">
      <c r="A71" s="3" t="str">
        <v>Figure</v>
      </c>
      <c r="B71" s="3" t="str">
        <v>Fig 4.4</v>
      </c>
      <c r="C71" s="3" t="str">
        <v>Figure group (see instructions)</v>
      </c>
      <c r="D71" s="3"/>
      <c r="E71" s="4" t="str">
        <f t="shared" si="1">IF(NOT(D71=""),LEN(D71),"")</f>
      </c>
      <c r="F71" s="3" t="str">
        <v>Four planar trajectory diagrams compare transport from a central Gaussian source, shown by red sample points, to the same three blue target atoms arranged as a triangle. The left panel uses straight rays of an empirical quadratic optimal matching. The next panel integrates the reverse flow of the linear noising bridge; its paths bend moderately. The third uses the variance-preserving Ornstein--Uhlenbeck bridge and shows pronounced curved approaches around the target directions. The fourth uses an overshooting bridge whose signal coefficient changes sign, producing a different central rearrangement before paths gather at the atoms. Colors along paths identify movement from the Gaussian samples to the atoms. These constructions share endpoint laws, but changing the bridge can change path geometry beyond merely changing traversal speed.</v>
      </c>
      <c r="G71" s="4" t="n">
        <f t="shared" si="2">IF(NOT(F71=""),LEN(F71),"")</f>
        <v>845</v>
      </c>
    </row>
    <row r="72" spans="1:7" ht="62" customHeight="1">
      <c r="A72" s="3" t="str">
        <v>Figure</v>
      </c>
      <c r="B72" s="3" t="str">
        <v>Fig 4.4, leftmost</v>
      </c>
      <c r="C72" s="3" t="str">
        <v>Image (Alt-text and/or Long Description)</v>
      </c>
      <c r="D72" s="3" t="str">
        <v>Straight quadratic-transport rays connect central red Gaussian samples to three blue target atoms. See long description.</v>
      </c>
      <c r="E72" s="4" t="n">
        <f t="shared" si="1">IF(NOT(D72=""),LEN(D72),"")</f>
        <v>120</v>
      </c>
      <c r="F72" s="3" t="str">
        <v>The target atoms sit at the top and lower corners of a triangle. Each source sample in the center is assigned to one atom and follows a straight segment. The picture uses an empirical approximation to the Gaussian source and its quadratic optimal coupling.</v>
      </c>
      <c r="G72" s="4" t="n">
        <f t="shared" si="2">IF(NOT(F72=""),LEN(F72),"")</f>
        <v>256</v>
      </c>
    </row>
    <row r="73" spans="1:7" ht="75" customHeight="1">
      <c r="A73" s="3" t="str">
        <v>Figure</v>
      </c>
      <c r="B73" s="3" t="str">
        <v>Fig 4.4, second</v>
      </c>
      <c r="C73" s="3" t="str">
        <v>Image (Alt-text and/or Long Description)</v>
      </c>
      <c r="D73" s="3" t="str">
        <v>Reverse flow for the linear bridge follows gently curved paths from the central Gaussian cloud to the three atoms. See long description.</v>
      </c>
      <c r="E73" s="4" t="n">
        <f t="shared" si="1">IF(NOT(D73=""),LEN(D73),"")</f>
        <v>136</v>
      </c>
      <c r="F73" s="3" t="str">
        <v>The endpoint configurations match the leftmost panel, but representative paths curve as they approach their target atom. The velocity is integrated from the analytic probability-flow field associated with linearly shrinking signal and linearly increasing Gaussian noise in forward time.</v>
      </c>
      <c r="G73" s="4" t="n">
        <f t="shared" si="2">IF(NOT(F73=""),LEN(F73),"")</f>
        <v>286</v>
      </c>
    </row>
    <row r="74" spans="1:7" ht="75" customHeight="1">
      <c r="A74" s="3" t="str">
        <v>Figure</v>
      </c>
      <c r="B74" s="3" t="str">
        <v>Fig 4.4, third</v>
      </c>
      <c r="C74" s="3" t="str">
        <v>Image (Alt-text and/or Long Description)</v>
      </c>
      <c r="D74" s="3" t="str">
        <v>The variance-preserving Ornstein--Uhlenbeck bridge produces strongly curved approaches to the same three atoms. See long description.</v>
      </c>
      <c r="E74" s="4" t="n">
        <f t="shared" si="1">IF(NOT(D74=""),LEN(D74),"")</f>
        <v>133</v>
      </c>
      <c r="F74" s="3" t="str">
        <v>Paths sweep around the three target directions, giving a visibly different geometry from straight optimal rays and the linear bridge. The simulation uses the analytic reverse probability-flow velocity. The curved trajectories still transport between the same Gaussian and three-atom endpoint laws.</v>
      </c>
      <c r="G74" s="4" t="n">
        <f t="shared" si="2">IF(NOT(F74=""),LEN(F74),"")</f>
        <v>297</v>
      </c>
    </row>
    <row r="75" spans="1:7" ht="75" customHeight="1">
      <c r="A75" s="3" t="str">
        <v>Figure</v>
      </c>
      <c r="B75" s="3" t="str">
        <v>Fig 4.4, rightmost</v>
      </c>
      <c r="C75" s="3" t="str">
        <v>Image (Alt-text and/or Long Description)</v>
      </c>
      <c r="D75" s="3" t="str">
        <v>An overshooting bridge rearranges central particles before gathering them at the three target atoms. See long description.</v>
      </c>
      <c r="E75" s="4" t="n">
        <f t="shared" si="1">IF(NOT(D75=""),LEN(D75),"")</f>
        <v>122</v>
      </c>
      <c r="F75" s="3" t="str">
        <v>The signal coefficient is the product of one minus t and one minus twice t, and the noise amplitude is t. The sign change permits an intermediate reversal of the signal contribution. The resulting reverse-flow paths differ from the other schedules by more than a reparametrization of time.</v>
      </c>
      <c r="G75" s="4" t="n">
        <f t="shared" si="2">IF(NOT(F75=""),LEN(F75),"")</f>
        <v>289</v>
      </c>
    </row>
    <row r="76" spans="1:7" ht="181" customHeight="1">
      <c r="A76" s="3" t="str">
        <v>Figure</v>
      </c>
      <c r="B76" s="3" t="str">
        <v>Fig 4.5</v>
      </c>
      <c r="C76" s="3" t="str">
        <v>Figure group (see instructions)</v>
      </c>
      <c r="D76" s="3"/>
      <c r="E76" s="4" t="str">
        <f t="shared" si="1">IF(NOT(D76=""),LEN(D76),"")</f>
      </c>
      <c r="F76" s="3" t="str">
        <v>Two planar diagrams compare tuned drifting fields for a particle generator. Both begin with two compact red source groups at the left and use two pale blue target groups on the right. Purple points mark terminal generated particles. The left field uses unnormalized Gaussian averages: some particles approach the target, while others move far upward, downward or leftward, leaving a dispersed terminal configuration. The right uses normalized Gaussian-weighted averages: the displayed paths move toward the right and collect near the target groups. Both fields combine attraction to data with weighted self-repulsion. Their bandwidths, self weights, step sizes and integration horizons differ, and instantaneous speed is capped. The panels therefore illustrate two tuned constructions, rather than isolate normalization as the sole reason for the observed difference.</v>
      </c>
      <c r="G76" s="4" t="n">
        <f t="shared" si="2">IF(NOT(F76=""),LEN(F76),"")</f>
        <v>867</v>
      </c>
    </row>
    <row r="77" spans="1:7" ht="75" customHeight="1">
      <c r="A77" s="3" t="str">
        <v>Figure</v>
      </c>
      <c r="B77" s="3" t="str">
        <v>Fig 4.5, left</v>
      </c>
      <c r="C77" s="3" t="str">
        <v>Image (Alt-text and/or Long Description)</v>
      </c>
      <c r="D77" s="3" t="str">
        <v>Unnormalized Gaussian drifting sends some particles toward the target and disperses others far from it. See long description.</v>
      </c>
      <c r="E77" s="4" t="n">
        <f t="shared" si="1">IF(NOT(D77=""),LEN(D77),"")</f>
        <v>125</v>
      </c>
      <c r="F77" s="3" t="str">
        <v>Red particles begin in two small groups on the left and pale blue points indicate the target on the right. Several curved paths end at purple points far above, below or left of the target, while a few approach its two groups. The display is a tuned schematic computation with a speed cap.</v>
      </c>
      <c r="G77" s="4" t="n">
        <f t="shared" si="2">IF(NOT(F77=""),LEN(F77),"")</f>
        <v>288</v>
      </c>
    </row>
    <row r="78" spans="1:7" ht="75" customHeight="1">
      <c r="A78" s="3" t="str">
        <v>Figure</v>
      </c>
      <c r="B78" s="3" t="str">
        <v>Fig 4.5, right</v>
      </c>
      <c r="C78" s="3" t="str">
        <v>Image (Alt-text and/or Long Description)</v>
      </c>
      <c r="D78" s="3" t="str">
        <v>Normalized Gaussian drifting gives rightward paths whose purple endpoints collect near the two pale blue target groups. See long description.</v>
      </c>
      <c r="E78" s="4" t="n">
        <f t="shared" si="1">IF(NOT(D78=""),LEN(D78),"")</f>
        <v>141</v>
      </c>
      <c r="F78" s="3" t="str">
        <v>The red source and pale blue target are as in the left panel. Curves bend near the target and terminal particles gather around its upper and lower components. The field uses normalized kernel-weighted target attraction and self-repulsion, with separately selected numerical parameters.</v>
      </c>
      <c r="G78" s="4" t="n">
        <f t="shared" si="2">IF(NOT(F78=""),LEN(F78),"")</f>
        <v>285</v>
      </c>
    </row>
    <row r="79" spans="1:7" ht="14.45">
      <c r="A79" s="3"/>
      <c r="B79" s="3"/>
      <c r="C79" s="3"/>
      <c r="D79" s="3"/>
      <c r="E79" s="4" t="str">
        <f t="shared" si="1"/>
        <v/>
      </c>
      <c r="F79" s="3"/>
      <c r="G79" s="4" t="str">
        <f t="shared" si="2"/>
        <v/>
      </c>
    </row>
    <row r="80" spans="1:7" ht="14.45">
      <c r="A80" s="3"/>
      <c r="B80" s="3"/>
      <c r="C80" s="3"/>
      <c r="D80" s="3"/>
      <c r="E80" s="4" t="str">
        <f t="shared" si="1"/>
        <v/>
      </c>
      <c r="F80" s="3"/>
      <c r="G80" s="4" t="str">
        <f t="shared" si="2"/>
        <v/>
      </c>
    </row>
    <row r="81" spans="1:7" ht="14.45">
      <c r="A81" s="3"/>
      <c r="B81" s="3"/>
      <c r="C81" s="3"/>
      <c r="D81" s="3"/>
      <c r="E81" s="4" t="str">
        <f t="shared" si="1"/>
        <v/>
      </c>
      <c r="F81" s="3"/>
      <c r="G81" s="4" t="str">
        <f t="shared" si="2"/>
        <v/>
      </c>
    </row>
    <row r="82" spans="1:7" ht="14.45">
      <c r="A82" s="3"/>
      <c r="B82" s="3"/>
      <c r="C82" s="3"/>
      <c r="D82" s="3"/>
      <c r="E82" s="4" t="str">
        <f t="shared" si="1"/>
        <v/>
      </c>
      <c r="F82" s="3"/>
      <c r="G82" s="4" t="str">
        <f t="shared" si="2"/>
        <v/>
      </c>
    </row>
    <row r="83" spans="1:7" ht="14.45">
      <c r="A83" s="3"/>
      <c r="B83" s="3"/>
      <c r="C83" s="3"/>
      <c r="D83" s="3"/>
      <c r="E83" s="4" t="str">
        <f t="shared" si="1"/>
        <v/>
      </c>
      <c r="F83" s="3"/>
      <c r="G83" s="4" t="str">
        <f t="shared" si="2"/>
        <v/>
      </c>
    </row>
    <row r="84" spans="1:7" ht="14.45">
      <c r="A84" s="3"/>
      <c r="B84" s="3"/>
      <c r="C84" s="3"/>
      <c r="D84" s="3"/>
      <c r="E84" s="4" t="str">
        <f t="shared" si="1"/>
        <v/>
      </c>
      <c r="F84" s="3"/>
      <c r="G84" s="4" t="str">
        <f t="shared" si="2"/>
        <v/>
      </c>
    </row>
    <row r="85" spans="1:7" ht="14.45">
      <c r="A85" s="3"/>
      <c r="B85" s="3"/>
      <c r="C85" s="3"/>
      <c r="D85" s="3"/>
      <c r="E85" s="4" t="str">
        <f t="shared" si="1"/>
        <v/>
      </c>
      <c r="F85" s="3"/>
      <c r="G85" s="4" t="str">
        <f t="shared" si="2"/>
        <v/>
      </c>
    </row>
    <row r="86" spans="1:7" ht="14.45">
      <c r="A86" s="3"/>
      <c r="B86" s="3"/>
      <c r="C86" s="3"/>
      <c r="D86" s="3"/>
      <c r="E86" s="4" t="str">
        <f t="shared" si="1"/>
        <v/>
      </c>
      <c r="F86" s="3"/>
      <c r="G86" s="4" t="str">
        <f t="shared" si="2"/>
        <v/>
      </c>
    </row>
    <row r="87" spans="1:7" ht="14.45">
      <c r="A87" s="3"/>
      <c r="B87" s="3"/>
      <c r="C87" s="3"/>
      <c r="D87" s="3"/>
      <c r="E87" s="4" t="str">
        <f t="shared" si="1"/>
        <v/>
      </c>
      <c r="F87" s="3"/>
      <c r="G87" s="4" t="str">
        <f t="shared" si="2"/>
        <v/>
      </c>
    </row>
    <row r="88" spans="1:7" ht="14.45">
      <c r="A88" s="3"/>
      <c r="B88" s="3"/>
      <c r="C88" s="3"/>
      <c r="D88" s="3"/>
      <c r="E88" s="4" t="str">
        <f t="shared" si="1"/>
        <v/>
      </c>
      <c r="F88" s="3"/>
      <c r="G88" s="4" t="str">
        <f t="shared" si="2"/>
        <v/>
      </c>
    </row>
    <row r="89" spans="1:7" ht="14.45">
      <c r="A89" s="3"/>
      <c r="B89" s="3"/>
      <c r="C89" s="3"/>
      <c r="D89" s="3"/>
      <c r="E89" s="4" t="str">
        <f t="shared" si="1"/>
        <v/>
      </c>
      <c r="F89" s="3"/>
      <c r="G89" s="4" t="str">
        <f t="shared" si="2"/>
        <v/>
      </c>
    </row>
    <row r="90" spans="1:7" ht="14.45">
      <c r="A90" s="3"/>
      <c r="B90" s="3"/>
      <c r="C90" s="3"/>
      <c r="D90" s="3"/>
      <c r="E90" s="4" t="str">
        <f t="shared" si="1"/>
        <v/>
      </c>
      <c r="F90" s="3"/>
      <c r="G90" s="4" t="str">
        <f t="shared" si="2"/>
        <v/>
      </c>
    </row>
    <row r="91" spans="1:7" ht="14.45">
      <c r="A91" s="3"/>
      <c r="B91" s="3"/>
      <c r="C91" s="3"/>
      <c r="D91" s="3"/>
      <c r="E91" s="4" t="str">
        <f t="shared" si="1"/>
        <v/>
      </c>
      <c r="F91" s="3"/>
      <c r="G91" s="4" t="str">
        <f t="shared" si="2"/>
        <v/>
      </c>
    </row>
    <row r="92" spans="1:7" ht="14.45">
      <c r="A92" s="3"/>
      <c r="B92" s="3"/>
      <c r="C92" s="3"/>
      <c r="D92" s="3"/>
      <c r="E92" s="4" t="str">
        <f t="shared" si="1"/>
        <v/>
      </c>
      <c r="F92" s="3"/>
      <c r="G92" s="4" t="str">
        <f t="shared" si="2"/>
        <v/>
      </c>
    </row>
    <row r="93" spans="1:7" ht="14.45">
      <c r="A93" s="3"/>
      <c r="B93" s="3"/>
      <c r="C93" s="3"/>
      <c r="D93" s="3"/>
      <c r="E93" s="4" t="str">
        <f t="shared" si="1"/>
        <v/>
      </c>
      <c r="F93" s="3"/>
      <c r="G93" s="4" t="str">
        <f t="shared" si="2"/>
        <v/>
      </c>
    </row>
    <row r="94" spans="1:7" ht="14.45">
      <c r="A94" s="3"/>
      <c r="B94" s="3"/>
      <c r="C94" s="3"/>
      <c r="D94" s="3"/>
      <c r="E94" s="4" t="str">
        <f t="shared" si="1"/>
        <v/>
      </c>
      <c r="F94" s="3"/>
      <c r="G94" s="4" t="str">
        <f t="shared" si="2"/>
        <v/>
      </c>
    </row>
    <row r="95" spans="1:7" ht="14.45">
      <c r="A95" s="3"/>
      <c r="B95" s="3"/>
      <c r="C95" s="3"/>
      <c r="D95" s="3"/>
      <c r="E95" s="4" t="str">
        <f t="shared" si="1"/>
        <v/>
      </c>
      <c r="F95" s="3"/>
      <c r="G95" s="4" t="str">
        <f t="shared" si="2"/>
        <v/>
      </c>
    </row>
    <row r="96" spans="1:7" ht="14.45">
      <c r="A96" s="3"/>
      <c r="B96" s="3"/>
      <c r="C96" s="3"/>
      <c r="D96" s="3"/>
      <c r="E96" s="4" t="str">
        <f t="shared" si="1"/>
        <v/>
      </c>
      <c r="F96" s="3"/>
      <c r="G96" s="4" t="str">
        <f t="shared" si="2"/>
        <v/>
      </c>
    </row>
    <row r="97" spans="1:7" ht="14.45">
      <c r="A97" s="3"/>
      <c r="B97" s="3"/>
      <c r="C97" s="3"/>
      <c r="D97" s="3"/>
      <c r="E97" s="4" t="str">
        <f t="shared" si="1"/>
        <v/>
      </c>
      <c r="F97" s="3"/>
      <c r="G97" s="4" t="str">
        <f t="shared" si="2"/>
        <v/>
      </c>
    </row>
    <row r="98" spans="1:7" ht="14.45">
      <c r="A98" s="3"/>
      <c r="B98" s="3"/>
      <c r="C98" s="3"/>
      <c r="D98" s="3"/>
      <c r="E98" s="4" t="str">
        <f t="shared" si="1"/>
        <v/>
      </c>
      <c r="F98" s="3"/>
      <c r="G98" s="4" t="str">
        <f t="shared" si="2"/>
        <v/>
      </c>
    </row>
    <row r="99" spans="1:7" ht="14.45">
      <c r="A99" s="3"/>
      <c r="B99" s="3"/>
      <c r="C99" s="3"/>
      <c r="D99" s="3"/>
      <c r="E99" s="4" t="str">
        <f t="shared" si="1"/>
        <v/>
      </c>
      <c r="F99" s="3"/>
      <c r="G99" s="4" t="str">
        <f t="shared" si="2"/>
        <v/>
      </c>
    </row>
    <row r="100" spans="1:7" ht="14.45">
      <c r="A100" s="3"/>
      <c r="B100" s="3"/>
      <c r="C100" s="3"/>
      <c r="D100" s="3"/>
      <c r="E100" s="4" t="str">
        <f t="shared" si="1"/>
        <v/>
      </c>
      <c r="F100" s="3"/>
      <c r="G100" s="4" t="str">
        <f t="shared" si="2"/>
        <v/>
      </c>
    </row>
    <row r="101" spans="1:7" ht="14.45">
      <c r="A101" s="3"/>
      <c r="B101" s="3"/>
      <c r="C101" s="3"/>
      <c r="D101" s="3"/>
      <c r="E101" s="4" t="str">
        <f t="shared" si="1"/>
        <v/>
      </c>
      <c r="F101" s="3"/>
      <c r="G101" s="4" t="str">
        <f t="shared" si="2"/>
        <v/>
      </c>
    </row>
    <row r="102" spans="1:7" ht="14.45">
      <c r="A102" s="3"/>
      <c r="B102" s="3"/>
      <c r="C102" s="3"/>
      <c r="D102" s="3"/>
      <c r="E102" s="4" t="str">
        <f t="shared" si="1"/>
        <v/>
      </c>
      <c r="F102" s="3"/>
      <c r="G102" s="4" t="str">
        <f t="shared" si="2"/>
        <v/>
      </c>
    </row>
    <row r="108" spans="1:7" ht="14.45"/>
    <row r="109" spans="1:7" ht="14.45" hidden="1">
      <c r="A109" s="56" t="s">
        <v>66</v>
      </c>
      <c r="B109" s="56"/>
      <c r="C109" s="5" t="s">
        <v>14</v>
      </c>
    </row>
    <row r="110" spans="1:7" ht="14.45" hidden="1">
      <c r="C110" s="6"/>
    </row>
    <row r="111" spans="1:7" ht="14.45" hidden="1">
      <c r="A111" s="1" t="s">
        <v>67</v>
      </c>
      <c r="C111" s="7" t="s">
        <v>47</v>
      </c>
    </row>
    <row r="112" spans="1:7" ht="14.45" hidden="1">
      <c r="A112" s="1" t="s">
        <v>68</v>
      </c>
      <c r="C112" s="7" t="s">
        <v>63</v>
      </c>
    </row>
    <row r="113" spans="1:3" ht="14.45" hidden="1">
      <c r="A113" s="1" t="s">
        <v>69</v>
      </c>
      <c r="C113" s="7" t="s">
        <v>24</v>
      </c>
    </row>
    <row r="114" spans="1:3" ht="14.45" hidden="1">
      <c r="C114" s="7" t="s">
        <v>53</v>
      </c>
    </row>
    <row r="115" spans="1:3" ht="14.45" hidden="1">
      <c r="C115" s="7" t="s">
        <v>55</v>
      </c>
    </row>
    <row r="116" spans="1:3" ht="14.45"/>
    <row r="117" spans="1:3" ht="14.45"/>
    <row r="118" spans="1:3" ht="14.45"/>
  </sheetData>
  <sheetProtection formatRows="0" insertRows="0"/>
  <dataConsolidate/>
  <conditionalFormatting sqref="D2:D5 D7:D102">
    <cfRule type="expression" dxfId="8" priority="5">
      <formula>OR($C2=Image_text,$C2=Decorative_image,$C2=Figure_Table_group)</formula>
    </cfRule>
  </conditionalFormatting>
  <conditionalFormatting sqref="E2:E102 G2:G102">
    <cfRule type="expression" dxfId="7" priority="3">
      <formula>OR($C2=Simple_image,$C2=Image_text,$C2=Complex_image,$C2=Figure_Table_group,$C2=Decorative_image)</formula>
    </cfRule>
  </conditionalFormatting>
  <conditionalFormatting sqref="F2:F4 F6:F102">
    <cfRule type="expression" dxfId="6" priority="4">
      <formula>OR($C2=Image_text,$C2=Decorative_image)</formula>
    </cfRule>
  </conditionalFormatting>
  <dataValidations count="11">
    <dataValidation allowBlank="1" showInputMessage="1" showErrorMessage="1" promptTitle="alt-text" prompt="The alt-text is a short description up to 250 characters. The 'alt-text count' is to help meet this requirement. It should not repeat the caption. If a long description is needed, please end the alt-text with 'See long description.'  " sqref="D1" xr:uid="{00000000-0002-0000-0100-000000000000}"/>
    <dataValidation allowBlank="1" showInputMessage="1" showErrorMessage="1" promptTitle="Long description" prompt="If content is up to 1000 characters of plain text, please enter here. If longer, and/or with structure (e.g. sections with headings, lists, tables) create a Word file named '&lt;Image no.&gt;_long-desc.docx' and add name here._x000a_" sqref="F1" xr:uid="{00000000-0002-0000-0100-000001000000}"/>
    <dataValidation allowBlank="1" showInputMessage="1" showErrorMessage="1" promptTitle="Figure or Table number in article" prompt="Enter the image (figure or table)’s unique number, e.g. Figure 1.1 or Table 2.1." sqref="B1" xr:uid="{00000000-0002-0000-0100-000002000000}"/>
    <dataValidation allowBlank="1" showInputMessage="1" showErrorMessage="1" promptTitle="Image Type" prompt="Please select image type. This is required. It will show which other columns require content." sqref="C1" xr:uid="{00000000-0002-0000-0100-000003000000}"/>
    <dataValidation allowBlank="1" showInputMessage="1" showErrorMessage="1" promptTitle="long description character count" prompt="This should be up to 1000 characters (or use a Word file)." sqref="G1" xr:uid="{00000000-0002-0000-0100-000005000000}"/>
    <dataValidation allowBlank="1" showInputMessage="1" showErrorMessage="1" promptTitle="alt-text character count" prompt="This should be up to 250 characters." sqref="E1" xr:uid="{00000000-0002-0000-0100-000007000000}"/>
    <dataValidation type="textLength" errorStyle="warning" operator="lessThan" allowBlank="1" showInputMessage="1" showErrorMessage="1" errorTitle="alt-text" error="This should be up to 250 characters. Please consider whether a long description is required and if so, reselect image 'Type' and add 'See long description.' at end of updated alt-text." sqref="D7:D102 D2:D5" xr:uid="{00000000-0002-0000-0100-000008000000}">
      <formula1>251</formula1>
    </dataValidation>
    <dataValidation type="textLength" errorStyle="warning" operator="lessThan" allowBlank="1" showInputMessage="1" showErrorMessage="1" errorTitle="long description" error="This is over 1000 characters. For descriptions over 1000 characters or with structured content please use a Word file named &lt;Image no.&gt;_long-desc.docx and add file name here. " sqref="F2:F4 F6:F102" xr:uid="{00000000-0002-0000-0100-000009000000}">
      <formula1>1001</formula1>
    </dataValidation>
    <dataValidation type="list" allowBlank="1" showInputMessage="1" showErrorMessage="1" sqref="C2:C102" xr:uid="{00000000-0002-0000-0100-000006000000}">
      <formula1>$C$110:$C$115</formula1>
    </dataValidation>
    <dataValidation type="list" allowBlank="1" showInputMessage="1" showErrorMessage="1" sqref="A2:A102" xr:uid="{35E5A931-4EEE-4177-8588-58AF193A42A2}">
      <formula1>$A$110:$A$113</formula1>
    </dataValidation>
    <dataValidation allowBlank="1" showInputMessage="1" showErrorMessage="1" promptTitle="Figure or Table" prompt="Enter the image type, figure or table." sqref="A1" xr:uid="{B6F213DE-F79F-44F4-BD00-1F99559DB50D}"/>
  </dataValidations>
  <pageMargins left="0.7" right="0.7" top="0.75" bottom="0.75" header="0.3" footer="0.3"/>
  <pageSetup paperSize="9" orientation="portrait" horizontalDpi="4294967293" verticalDpi="0"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101"/>
  <sheetViews>
    <sheetView showGridLines="0" zoomScaleNormal="100" workbookViewId="0">
      <pane ySplit="1" topLeftCell="A82" activePane="bottomLeft" state="frozen"/>
      <selection pane="bottomLeft" activeCell="B10" sqref="B10"/>
    </sheetView>
  </sheetViews>
  <sheetFormatPr defaultColWidth="8.85546875" defaultRowHeight="14.45"/>
  <cols>
    <col min="1" max="1" width="18.140625" style="1" customWidth="1"/>
    <col min="2" max="2" width="44.5703125" style="1" customWidth="1"/>
    <col min="3" max="3" width="8.42578125" style="1" customWidth="1"/>
    <col min="4" max="16384" width="8.85546875" style="1"/>
  </cols>
  <sheetData>
    <row r="1" spans="1:3" ht="32.450000000000003" customHeight="1" thickBot="1">
      <c r="A1" s="8" t="s">
        <v>70</v>
      </c>
      <c r="B1" s="9" t="s">
        <v>42</v>
      </c>
      <c r="C1" s="8" t="s">
        <v>43</v>
      </c>
    </row>
    <row r="2" spans="1:3" ht="19.350000000000001" customHeight="1">
      <c r="A2" s="3"/>
      <c r="B2" s="3"/>
      <c r="C2" s="11" t="str">
        <f>IF(NOT(B2=""),LEN(B2),"")</f>
        <v/>
      </c>
    </row>
    <row r="3" spans="1:3" ht="19.350000000000001" customHeight="1">
      <c r="A3" s="28"/>
      <c r="B3" s="3"/>
      <c r="C3" s="11" t="str">
        <f t="shared" ref="C3:C100" si="0">IF(NOT(B3=""),LEN(B3),"")</f>
        <v/>
      </c>
    </row>
    <row r="4" spans="1:3" ht="19.350000000000001" customHeight="1">
      <c r="A4" s="28"/>
      <c r="B4" s="3"/>
      <c r="C4" s="11" t="str">
        <f t="shared" si="0"/>
        <v/>
      </c>
    </row>
    <row r="5" spans="1:3" ht="19.350000000000001" customHeight="1">
      <c r="A5" s="28"/>
      <c r="B5" s="3"/>
      <c r="C5" s="11" t="str">
        <f t="shared" si="0"/>
        <v/>
      </c>
    </row>
    <row r="6" spans="1:3" ht="19.350000000000001" customHeight="1">
      <c r="A6" s="28"/>
      <c r="B6" s="3"/>
      <c r="C6" s="11" t="str">
        <f t="shared" si="0"/>
        <v/>
      </c>
    </row>
    <row r="7" spans="1:3" ht="19.350000000000001" customHeight="1">
      <c r="A7" s="28"/>
      <c r="B7" s="3"/>
      <c r="C7" s="11" t="str">
        <f t="shared" si="0"/>
        <v/>
      </c>
    </row>
    <row r="8" spans="1:3" ht="19.350000000000001" customHeight="1">
      <c r="A8" s="28"/>
      <c r="B8" s="3"/>
      <c r="C8" s="11" t="str">
        <f t="shared" si="0"/>
        <v/>
      </c>
    </row>
    <row r="9" spans="1:3" ht="19.350000000000001" customHeight="1">
      <c r="A9" s="28"/>
      <c r="B9" s="3"/>
      <c r="C9" s="11" t="str">
        <f t="shared" si="0"/>
        <v/>
      </c>
    </row>
    <row r="10" spans="1:3" ht="19.350000000000001" customHeight="1">
      <c r="A10" s="28"/>
      <c r="B10" s="3"/>
      <c r="C10" s="11" t="str">
        <f t="shared" si="0"/>
        <v/>
      </c>
    </row>
    <row r="11" spans="1:3" ht="19.350000000000001" customHeight="1">
      <c r="A11" s="28"/>
      <c r="B11" s="3"/>
      <c r="C11" s="11" t="str">
        <f t="shared" si="0"/>
        <v/>
      </c>
    </row>
    <row r="12" spans="1:3" ht="19.350000000000001" customHeight="1">
      <c r="A12" s="28"/>
      <c r="B12" s="3"/>
      <c r="C12" s="11" t="str">
        <f t="shared" si="0"/>
        <v/>
      </c>
    </row>
    <row r="13" spans="1:3" ht="19.350000000000001" customHeight="1">
      <c r="A13" s="28"/>
      <c r="B13" s="3"/>
      <c r="C13" s="11" t="str">
        <f t="shared" si="0"/>
        <v/>
      </c>
    </row>
    <row r="14" spans="1:3" ht="19.350000000000001" customHeight="1">
      <c r="A14" s="28"/>
      <c r="B14" s="3"/>
      <c r="C14" s="11" t="str">
        <f t="shared" si="0"/>
        <v/>
      </c>
    </row>
    <row r="15" spans="1:3" ht="19.350000000000001" customHeight="1">
      <c r="A15" s="28"/>
      <c r="B15" s="3"/>
      <c r="C15" s="11" t="str">
        <f t="shared" si="0"/>
        <v/>
      </c>
    </row>
    <row r="16" spans="1:3" ht="19.350000000000001" customHeight="1">
      <c r="A16" s="28"/>
      <c r="B16" s="3"/>
      <c r="C16" s="11" t="str">
        <f t="shared" si="0"/>
        <v/>
      </c>
    </row>
    <row r="17" spans="1:3" ht="19.350000000000001" customHeight="1">
      <c r="A17" s="28"/>
      <c r="B17" s="3"/>
      <c r="C17" s="11" t="str">
        <f t="shared" si="0"/>
        <v/>
      </c>
    </row>
    <row r="18" spans="1:3" ht="19.350000000000001" customHeight="1">
      <c r="A18" s="28"/>
      <c r="B18" s="3"/>
      <c r="C18" s="11" t="str">
        <f t="shared" si="0"/>
        <v/>
      </c>
    </row>
    <row r="19" spans="1:3" ht="19.350000000000001" customHeight="1">
      <c r="A19" s="28"/>
      <c r="B19" s="3"/>
      <c r="C19" s="11" t="str">
        <f t="shared" si="0"/>
        <v/>
      </c>
    </row>
    <row r="20" spans="1:3" ht="19.350000000000001" customHeight="1">
      <c r="A20" s="28"/>
      <c r="B20" s="3"/>
      <c r="C20" s="11" t="str">
        <f t="shared" si="0"/>
        <v/>
      </c>
    </row>
    <row r="21" spans="1:3" ht="19.350000000000001" customHeight="1">
      <c r="A21" s="28"/>
      <c r="B21" s="3"/>
      <c r="C21" s="11" t="str">
        <f t="shared" si="0"/>
        <v/>
      </c>
    </row>
    <row r="22" spans="1:3" ht="19.350000000000001" customHeight="1">
      <c r="A22" s="28"/>
      <c r="B22" s="3"/>
      <c r="C22" s="11" t="str">
        <f t="shared" si="0"/>
        <v/>
      </c>
    </row>
    <row r="23" spans="1:3" ht="19.350000000000001" customHeight="1">
      <c r="A23" s="28"/>
      <c r="B23" s="3"/>
      <c r="C23" s="11" t="str">
        <f t="shared" si="0"/>
        <v/>
      </c>
    </row>
    <row r="24" spans="1:3" ht="19.350000000000001" customHeight="1">
      <c r="A24" s="28"/>
      <c r="B24" s="3"/>
      <c r="C24" s="11" t="str">
        <f t="shared" si="0"/>
        <v/>
      </c>
    </row>
    <row r="25" spans="1:3" ht="19.350000000000001" customHeight="1">
      <c r="A25" s="28"/>
      <c r="B25" s="3"/>
      <c r="C25" s="11" t="str">
        <f t="shared" si="0"/>
        <v/>
      </c>
    </row>
    <row r="26" spans="1:3" ht="19.350000000000001" customHeight="1">
      <c r="A26" s="28"/>
      <c r="B26" s="3"/>
      <c r="C26" s="11" t="str">
        <f t="shared" si="0"/>
        <v/>
      </c>
    </row>
    <row r="27" spans="1:3" ht="19.350000000000001" customHeight="1">
      <c r="A27" s="28"/>
      <c r="B27" s="3"/>
      <c r="C27" s="11" t="str">
        <f t="shared" si="0"/>
        <v/>
      </c>
    </row>
    <row r="28" spans="1:3" ht="19.350000000000001" customHeight="1">
      <c r="A28" s="28"/>
      <c r="B28" s="3"/>
      <c r="C28" s="11" t="str">
        <f t="shared" si="0"/>
        <v/>
      </c>
    </row>
    <row r="29" spans="1:3" ht="19.350000000000001" customHeight="1">
      <c r="A29" s="28"/>
      <c r="B29" s="3"/>
      <c r="C29" s="11" t="str">
        <f t="shared" si="0"/>
        <v/>
      </c>
    </row>
    <row r="30" spans="1:3" ht="19.350000000000001" customHeight="1">
      <c r="A30" s="28"/>
      <c r="B30" s="3"/>
      <c r="C30" s="11" t="str">
        <f t="shared" si="0"/>
        <v/>
      </c>
    </row>
    <row r="31" spans="1:3" ht="19.350000000000001" customHeight="1">
      <c r="A31" s="28"/>
      <c r="B31" s="3"/>
      <c r="C31" s="11" t="str">
        <f t="shared" si="0"/>
        <v/>
      </c>
    </row>
    <row r="32" spans="1:3" ht="19.350000000000001" customHeight="1">
      <c r="A32" s="28"/>
      <c r="B32" s="3"/>
      <c r="C32" s="11" t="str">
        <f t="shared" si="0"/>
        <v/>
      </c>
    </row>
    <row r="33" spans="1:3" ht="19.350000000000001" customHeight="1">
      <c r="A33" s="28"/>
      <c r="B33" s="3"/>
      <c r="C33" s="11" t="str">
        <f t="shared" si="0"/>
        <v/>
      </c>
    </row>
    <row r="34" spans="1:3" ht="19.350000000000001" customHeight="1">
      <c r="A34" s="28"/>
      <c r="B34" s="3"/>
      <c r="C34" s="11" t="str">
        <f t="shared" si="0"/>
        <v/>
      </c>
    </row>
    <row r="35" spans="1:3" ht="19.350000000000001" customHeight="1">
      <c r="A35" s="28"/>
      <c r="B35" s="3"/>
      <c r="C35" s="11" t="str">
        <f t="shared" si="0"/>
        <v/>
      </c>
    </row>
    <row r="36" spans="1:3" ht="19.350000000000001" customHeight="1">
      <c r="A36" s="28"/>
      <c r="B36" s="3"/>
      <c r="C36" s="11" t="str">
        <f t="shared" si="0"/>
        <v/>
      </c>
    </row>
    <row r="37" spans="1:3" ht="19.350000000000001" customHeight="1">
      <c r="A37" s="28"/>
      <c r="B37" s="3"/>
      <c r="C37" s="11" t="str">
        <f t="shared" si="0"/>
        <v/>
      </c>
    </row>
    <row r="38" spans="1:3" ht="19.350000000000001" customHeight="1">
      <c r="A38" s="28"/>
      <c r="B38" s="3"/>
      <c r="C38" s="11" t="str">
        <f t="shared" si="0"/>
        <v/>
      </c>
    </row>
    <row r="39" spans="1:3" ht="19.350000000000001" customHeight="1">
      <c r="A39" s="28"/>
      <c r="B39" s="3"/>
      <c r="C39" s="11" t="str">
        <f t="shared" si="0"/>
        <v/>
      </c>
    </row>
    <row r="40" spans="1:3" ht="19.350000000000001" customHeight="1">
      <c r="A40" s="28"/>
      <c r="B40" s="3"/>
      <c r="C40" s="11" t="str">
        <f t="shared" si="0"/>
        <v/>
      </c>
    </row>
    <row r="41" spans="1:3" ht="19.350000000000001" customHeight="1">
      <c r="A41" s="28"/>
      <c r="B41" s="3"/>
      <c r="C41" s="11" t="str">
        <f t="shared" si="0"/>
        <v/>
      </c>
    </row>
    <row r="42" spans="1:3" ht="19.350000000000001" customHeight="1">
      <c r="A42" s="28"/>
      <c r="B42" s="3"/>
      <c r="C42" s="11" t="str">
        <f t="shared" si="0"/>
        <v/>
      </c>
    </row>
    <row r="43" spans="1:3" ht="19.350000000000001" customHeight="1">
      <c r="A43" s="28"/>
      <c r="B43" s="3"/>
      <c r="C43" s="11" t="str">
        <f t="shared" si="0"/>
        <v/>
      </c>
    </row>
    <row r="44" spans="1:3" ht="19.350000000000001" customHeight="1">
      <c r="A44" s="28"/>
      <c r="B44" s="3"/>
      <c r="C44" s="11" t="str">
        <f t="shared" si="0"/>
        <v/>
      </c>
    </row>
    <row r="45" spans="1:3" ht="19.350000000000001" customHeight="1">
      <c r="A45" s="28"/>
      <c r="B45" s="3"/>
      <c r="C45" s="11" t="str">
        <f t="shared" si="0"/>
        <v/>
      </c>
    </row>
    <row r="46" spans="1:3" ht="19.350000000000001" customHeight="1">
      <c r="A46" s="28"/>
      <c r="B46" s="3"/>
      <c r="C46" s="11" t="str">
        <f t="shared" si="0"/>
        <v/>
      </c>
    </row>
    <row r="47" spans="1:3" ht="19.350000000000001" customHeight="1">
      <c r="A47" s="28"/>
      <c r="B47" s="3"/>
      <c r="C47" s="11" t="str">
        <f t="shared" si="0"/>
        <v/>
      </c>
    </row>
    <row r="48" spans="1:3" ht="19.350000000000001" customHeight="1">
      <c r="A48" s="28"/>
      <c r="B48" s="3"/>
      <c r="C48" s="11" t="str">
        <f t="shared" si="0"/>
        <v/>
      </c>
    </row>
    <row r="49" spans="1:3" ht="19.350000000000001" customHeight="1">
      <c r="A49" s="28"/>
      <c r="B49" s="3"/>
      <c r="C49" s="11" t="str">
        <f t="shared" si="0"/>
        <v/>
      </c>
    </row>
    <row r="50" spans="1:3" ht="19.350000000000001" customHeight="1">
      <c r="A50" s="28"/>
      <c r="B50" s="3"/>
      <c r="C50" s="11" t="str">
        <f t="shared" si="0"/>
        <v/>
      </c>
    </row>
    <row r="51" spans="1:3" ht="19.350000000000001" customHeight="1">
      <c r="A51" s="28"/>
      <c r="B51" s="3"/>
      <c r="C51" s="11" t="str">
        <f t="shared" ref="C51:C89" si="1">IF(NOT(B51=""),LEN(B51),"")</f>
        <v/>
      </c>
    </row>
    <row r="52" spans="1:3" ht="19.350000000000001" customHeight="1">
      <c r="A52" s="28"/>
      <c r="B52" s="3"/>
      <c r="C52" s="11" t="str">
        <f t="shared" si="1"/>
        <v/>
      </c>
    </row>
    <row r="53" spans="1:3" ht="19.350000000000001" customHeight="1">
      <c r="A53" s="28"/>
      <c r="B53" s="3"/>
      <c r="C53" s="11" t="str">
        <f t="shared" si="1"/>
        <v/>
      </c>
    </row>
    <row r="54" spans="1:3" ht="19.350000000000001" customHeight="1">
      <c r="A54" s="28"/>
      <c r="B54" s="3"/>
      <c r="C54" s="11" t="str">
        <f t="shared" si="1"/>
        <v/>
      </c>
    </row>
    <row r="55" spans="1:3" ht="19.350000000000001" customHeight="1">
      <c r="A55" s="28"/>
      <c r="B55" s="3"/>
      <c r="C55" s="11" t="str">
        <f t="shared" si="1"/>
        <v/>
      </c>
    </row>
    <row r="56" spans="1:3" ht="19.350000000000001" customHeight="1">
      <c r="A56" s="28"/>
      <c r="B56" s="3"/>
      <c r="C56" s="11" t="str">
        <f t="shared" si="1"/>
        <v/>
      </c>
    </row>
    <row r="57" spans="1:3" ht="19.350000000000001" customHeight="1">
      <c r="A57" s="28"/>
      <c r="B57" s="3"/>
      <c r="C57" s="11" t="str">
        <f t="shared" si="1"/>
        <v/>
      </c>
    </row>
    <row r="58" spans="1:3" ht="19.350000000000001" customHeight="1">
      <c r="A58" s="28"/>
      <c r="B58" s="3"/>
      <c r="C58" s="11" t="str">
        <f t="shared" si="1"/>
        <v/>
      </c>
    </row>
    <row r="59" spans="1:3" ht="19.350000000000001" customHeight="1">
      <c r="A59" s="28"/>
      <c r="B59" s="3"/>
      <c r="C59" s="11" t="str">
        <f t="shared" si="1"/>
        <v/>
      </c>
    </row>
    <row r="60" spans="1:3" ht="19.350000000000001" customHeight="1">
      <c r="A60" s="28"/>
      <c r="B60" s="3"/>
      <c r="C60" s="11" t="str">
        <f t="shared" si="1"/>
        <v/>
      </c>
    </row>
    <row r="61" spans="1:3" ht="19.350000000000001" customHeight="1">
      <c r="A61" s="28"/>
      <c r="B61" s="3"/>
      <c r="C61" s="11" t="str">
        <f t="shared" si="1"/>
        <v/>
      </c>
    </row>
    <row r="62" spans="1:3" ht="19.350000000000001" customHeight="1">
      <c r="A62" s="28"/>
      <c r="B62" s="3"/>
      <c r="C62" s="11" t="str">
        <f t="shared" si="1"/>
        <v/>
      </c>
    </row>
    <row r="63" spans="1:3" ht="19.350000000000001" customHeight="1">
      <c r="A63" s="28"/>
      <c r="B63" s="3"/>
      <c r="C63" s="11" t="str">
        <f t="shared" si="1"/>
        <v/>
      </c>
    </row>
    <row r="64" spans="1:3" ht="19.350000000000001" customHeight="1">
      <c r="A64" s="28"/>
      <c r="B64" s="3"/>
      <c r="C64" s="11" t="str">
        <f t="shared" si="1"/>
        <v/>
      </c>
    </row>
    <row r="65" spans="1:3" ht="19.350000000000001" customHeight="1">
      <c r="A65" s="28"/>
      <c r="B65" s="3"/>
      <c r="C65" s="11" t="str">
        <f t="shared" si="1"/>
        <v/>
      </c>
    </row>
    <row r="66" spans="1:3" ht="19.350000000000001" customHeight="1">
      <c r="A66" s="28"/>
      <c r="B66" s="3"/>
      <c r="C66" s="11" t="str">
        <f t="shared" si="1"/>
        <v/>
      </c>
    </row>
    <row r="67" spans="1:3" ht="19.350000000000001" customHeight="1">
      <c r="A67" s="28"/>
      <c r="B67" s="3"/>
      <c r="C67" s="11" t="str">
        <f t="shared" si="1"/>
        <v/>
      </c>
    </row>
    <row r="68" spans="1:3" ht="19.350000000000001" customHeight="1">
      <c r="A68" s="28"/>
      <c r="B68" s="3"/>
      <c r="C68" s="11" t="str">
        <f t="shared" si="1"/>
        <v/>
      </c>
    </row>
    <row r="69" spans="1:3" ht="19.350000000000001" customHeight="1">
      <c r="A69" s="28"/>
      <c r="B69" s="3"/>
      <c r="C69" s="11" t="str">
        <f t="shared" si="1"/>
        <v/>
      </c>
    </row>
    <row r="70" spans="1:3" ht="19.350000000000001" customHeight="1">
      <c r="A70" s="28"/>
      <c r="B70" s="3"/>
      <c r="C70" s="11" t="str">
        <f t="shared" si="1"/>
        <v/>
      </c>
    </row>
    <row r="71" spans="1:3" ht="19.350000000000001" customHeight="1">
      <c r="A71" s="28"/>
      <c r="B71" s="3"/>
      <c r="C71" s="11" t="str">
        <f t="shared" ref="C71:C88" si="2">IF(NOT(B71=""),LEN(B71),"")</f>
        <v/>
      </c>
    </row>
    <row r="72" spans="1:3" ht="19.350000000000001" customHeight="1">
      <c r="A72" s="28"/>
      <c r="B72" s="3"/>
      <c r="C72" s="11" t="str">
        <f t="shared" si="2"/>
        <v/>
      </c>
    </row>
    <row r="73" spans="1:3" ht="19.350000000000001" customHeight="1">
      <c r="A73" s="28"/>
      <c r="B73" s="3"/>
      <c r="C73" s="11" t="str">
        <f t="shared" si="2"/>
        <v/>
      </c>
    </row>
    <row r="74" spans="1:3" ht="19.350000000000001" customHeight="1">
      <c r="A74" s="28"/>
      <c r="B74" s="3"/>
      <c r="C74" s="11" t="str">
        <f t="shared" si="2"/>
        <v/>
      </c>
    </row>
    <row r="75" spans="1:3" ht="19.350000000000001" customHeight="1">
      <c r="A75" s="28"/>
      <c r="B75" s="3"/>
      <c r="C75" s="11" t="str">
        <f t="shared" si="2"/>
        <v/>
      </c>
    </row>
    <row r="76" spans="1:3" ht="19.350000000000001" customHeight="1">
      <c r="A76" s="28"/>
      <c r="B76" s="3"/>
      <c r="C76" s="11" t="str">
        <f t="shared" si="2"/>
        <v/>
      </c>
    </row>
    <row r="77" spans="1:3" ht="19.350000000000001" customHeight="1">
      <c r="A77" s="28"/>
      <c r="B77" s="3"/>
      <c r="C77" s="11" t="str">
        <f t="shared" si="2"/>
        <v/>
      </c>
    </row>
    <row r="78" spans="1:3" ht="19.350000000000001" customHeight="1">
      <c r="A78" s="28"/>
      <c r="B78" s="3"/>
      <c r="C78" s="11" t="str">
        <f t="shared" si="2"/>
        <v/>
      </c>
    </row>
    <row r="79" spans="1:3" ht="19.350000000000001" customHeight="1">
      <c r="A79" s="28"/>
      <c r="B79" s="3"/>
      <c r="C79" s="11" t="str">
        <f t="shared" si="2"/>
        <v/>
      </c>
    </row>
    <row r="80" spans="1:3" ht="19.350000000000001" customHeight="1">
      <c r="A80" s="28"/>
      <c r="B80" s="3"/>
      <c r="C80" s="11" t="str">
        <f t="shared" si="2"/>
        <v/>
      </c>
    </row>
    <row r="81" spans="1:3" ht="19.350000000000001" customHeight="1">
      <c r="A81" s="28"/>
      <c r="B81" s="3"/>
      <c r="C81" s="11" t="str">
        <f t="shared" si="2"/>
        <v/>
      </c>
    </row>
    <row r="82" spans="1:3" ht="19.350000000000001" customHeight="1">
      <c r="A82" s="28"/>
      <c r="B82" s="3"/>
      <c r="C82" s="11" t="str">
        <f t="shared" si="2"/>
        <v/>
      </c>
    </row>
    <row r="83" spans="1:3" ht="19.350000000000001" customHeight="1">
      <c r="A83" s="28"/>
      <c r="B83" s="3"/>
      <c r="C83" s="11" t="str">
        <f t="shared" si="2"/>
        <v/>
      </c>
    </row>
    <row r="84" spans="1:3" ht="19.350000000000001" customHeight="1">
      <c r="A84" s="28"/>
      <c r="B84" s="3"/>
      <c r="C84" s="11" t="str">
        <f t="shared" si="2"/>
        <v/>
      </c>
    </row>
    <row r="85" spans="1:3" ht="19.350000000000001" customHeight="1">
      <c r="A85" s="28"/>
      <c r="B85" s="3"/>
      <c r="C85" s="11" t="str">
        <f t="shared" si="2"/>
        <v/>
      </c>
    </row>
    <row r="86" spans="1:3" ht="19.350000000000001" customHeight="1">
      <c r="A86" s="28"/>
      <c r="B86" s="3"/>
      <c r="C86" s="11" t="str">
        <f t="shared" si="2"/>
        <v/>
      </c>
    </row>
    <row r="87" spans="1:3" ht="19.350000000000001" customHeight="1">
      <c r="A87" s="28"/>
      <c r="B87" s="3"/>
      <c r="C87" s="11" t="str">
        <f t="shared" si="2"/>
        <v/>
      </c>
    </row>
    <row r="88" spans="1:3" ht="19.350000000000001" customHeight="1">
      <c r="A88" s="28"/>
      <c r="B88" s="3"/>
      <c r="C88" s="11" t="str">
        <f t="shared" si="2"/>
        <v/>
      </c>
    </row>
    <row r="89" spans="1:3" ht="19.350000000000001" customHeight="1">
      <c r="A89" s="28"/>
      <c r="B89" s="3"/>
      <c r="C89" s="11" t="str">
        <f t="shared" si="1"/>
        <v/>
      </c>
    </row>
    <row r="90" spans="1:3" ht="19.350000000000001" customHeight="1">
      <c r="A90" s="28"/>
      <c r="B90" s="3"/>
      <c r="C90" s="11" t="str">
        <f t="shared" si="0"/>
        <v/>
      </c>
    </row>
    <row r="91" spans="1:3" ht="19.350000000000001" customHeight="1">
      <c r="A91" s="28"/>
      <c r="B91" s="3"/>
      <c r="C91" s="11" t="str">
        <f t="shared" si="0"/>
        <v/>
      </c>
    </row>
    <row r="92" spans="1:3" ht="19.350000000000001" customHeight="1">
      <c r="A92" s="28"/>
      <c r="B92" s="3"/>
      <c r="C92" s="11" t="str">
        <f t="shared" si="0"/>
        <v/>
      </c>
    </row>
    <row r="93" spans="1:3" ht="19.350000000000001" customHeight="1">
      <c r="A93" s="28"/>
      <c r="B93" s="3"/>
      <c r="C93" s="11" t="str">
        <f t="shared" si="0"/>
        <v/>
      </c>
    </row>
    <row r="94" spans="1:3" ht="19.350000000000001" customHeight="1">
      <c r="A94" s="28"/>
      <c r="B94" s="3"/>
      <c r="C94" s="11" t="str">
        <f t="shared" si="0"/>
        <v/>
      </c>
    </row>
    <row r="95" spans="1:3" ht="19.350000000000001" customHeight="1">
      <c r="A95" s="28"/>
      <c r="B95" s="3"/>
      <c r="C95" s="11" t="str">
        <f t="shared" si="0"/>
        <v/>
      </c>
    </row>
    <row r="96" spans="1:3" ht="19.350000000000001" customHeight="1">
      <c r="A96" s="28"/>
      <c r="B96" s="3"/>
      <c r="C96" s="11" t="str">
        <f t="shared" si="0"/>
        <v/>
      </c>
    </row>
    <row r="97" spans="1:3" ht="19.350000000000001" customHeight="1">
      <c r="A97" s="28"/>
      <c r="B97" s="3"/>
      <c r="C97" s="11" t="str">
        <f t="shared" si="0"/>
        <v/>
      </c>
    </row>
    <row r="98" spans="1:3" ht="19.350000000000001" customHeight="1">
      <c r="A98" s="28"/>
      <c r="B98" s="3"/>
      <c r="C98" s="11" t="str">
        <f t="shared" si="0"/>
        <v/>
      </c>
    </row>
    <row r="99" spans="1:3" ht="19.350000000000001" customHeight="1">
      <c r="A99" s="28"/>
      <c r="B99" s="3"/>
      <c r="C99" s="11" t="str">
        <f t="shared" si="0"/>
        <v/>
      </c>
    </row>
    <row r="100" spans="1:3" ht="19.350000000000001" customHeight="1">
      <c r="A100" s="28"/>
      <c r="B100" s="3"/>
      <c r="C100" s="11" t="str">
        <f t="shared" si="0"/>
        <v/>
      </c>
    </row>
    <row r="101" spans="1:3" ht="19.350000000000001" customHeight="1">
      <c r="A101" s="28"/>
      <c r="B101" s="3"/>
      <c r="C101" s="11" t="str">
        <f t="shared" ref="C101" si="3">IF(NOT(B101=""),LEN(B101),"")</f>
        <v/>
      </c>
    </row>
  </sheetData>
  <sheetProtection formatRows="0" insertRows="0"/>
  <conditionalFormatting sqref="B2:B101">
    <cfRule type="expression" dxfId="5" priority="11">
      <formula>$B2="null"</formula>
    </cfRule>
    <cfRule type="expression" dxfId="4" priority="12">
      <formula>$B2="Content of image described in text"</formula>
    </cfRule>
  </conditionalFormatting>
  <dataValidations count="4">
    <dataValidation allowBlank="1" showInputMessage="1" showErrorMessage="1" promptTitle="alt-text character count" prompt="This should be up to 250 characters." sqref="C1" xr:uid="{00000000-0002-0000-0200-000000000000}"/>
    <dataValidation allowBlank="1" showInputMessage="1" showErrorMessage="1" promptTitle="Copy of icon/graphic" prompt="Please paste a copy of the icon or inline graphic here." sqref="A1" xr:uid="{00000000-0002-0000-0200-000001000000}"/>
    <dataValidation allowBlank="1" showInputMessage="1" promptTitle="alt-text" prompt="The alt-text is a short description up to 250 characters. The 'alt-text count' is to help meet this requirement.  " sqref="B1" xr:uid="{00000000-0002-0000-0200-000002000000}"/>
    <dataValidation type="textLength" errorStyle="warning" operator="lessThan" allowBlank="1" showInputMessage="1" showErrorMessage="1" errorTitle="alt-text" error="This should be up to 250 characters long." sqref="B2:B101" xr:uid="{00000000-0002-0000-0200-000003000000}">
      <formula1>251</formula1>
    </dataValidation>
  </dataValidations>
  <pageMargins left="0.7" right="0.7" top="0.75" bottom="0.75" header="0.3" footer="0.3"/>
  <pageSetup paperSize="9" orientation="portrait" horizontalDpi="4294967293" verticalDpi="0"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H66"/>
  <sheetViews>
    <sheetView showGridLines="0" zoomScaleNormal="100" workbookViewId="0">
      <pane ySplit="1" topLeftCell="A2" activePane="bottomLeft" state="frozen"/>
      <selection pane="bottomLeft" activeCell="B6" sqref="B6"/>
    </sheetView>
  </sheetViews>
  <sheetFormatPr defaultColWidth="8.85546875" defaultRowHeight="15" customHeight="1"/>
  <cols>
    <col min="1" max="1" width="14" style="1" customWidth="1"/>
    <col min="2" max="2" width="62.5703125" style="1" customWidth="1"/>
    <col min="3" max="3" width="41.42578125" style="1" customWidth="1"/>
    <col min="4" max="4" width="8.42578125" style="1" customWidth="1"/>
    <col min="5" max="7" width="22.5703125" style="1" customWidth="1"/>
    <col min="8" max="8" width="35.42578125" style="1" bestFit="1" customWidth="1"/>
    <col min="9" max="16384" width="8.85546875" style="1"/>
  </cols>
  <sheetData>
    <row r="1" spans="1:8" ht="27.95">
      <c r="A1" s="12" t="s">
        <v>71</v>
      </c>
      <c r="B1" s="12" t="s">
        <v>14</v>
      </c>
      <c r="C1" s="12" t="s">
        <v>42</v>
      </c>
      <c r="D1" s="8" t="s">
        <v>72</v>
      </c>
      <c r="E1" s="12" t="s">
        <v>73</v>
      </c>
      <c r="F1" s="12" t="s">
        <v>74</v>
      </c>
      <c r="G1" s="8" t="s">
        <v>75</v>
      </c>
      <c r="H1" s="12" t="s">
        <v>76</v>
      </c>
    </row>
    <row r="2" spans="1:8" ht="14.45">
      <c r="A2" s="3"/>
      <c r="B2" s="3"/>
      <c r="C2" s="3"/>
      <c r="D2" s="2" t="str">
        <f t="shared" ref="D2:D60" si="0">IF(NOT(C2=""),LEN(C2),"")</f>
        <v/>
      </c>
      <c r="E2" s="3"/>
      <c r="F2" s="3"/>
      <c r="G2" s="3"/>
      <c r="H2" s="3"/>
    </row>
    <row r="3" spans="1:8" ht="14.45">
      <c r="A3" s="3"/>
      <c r="B3" s="3"/>
      <c r="C3" s="3"/>
      <c r="D3" s="2" t="str">
        <f t="shared" si="0"/>
        <v/>
      </c>
      <c r="E3" s="3"/>
      <c r="F3" s="3"/>
      <c r="G3" s="3"/>
      <c r="H3" s="3"/>
    </row>
    <row r="4" spans="1:8" ht="14.45">
      <c r="A4" s="3"/>
      <c r="B4" s="3"/>
      <c r="C4" s="3"/>
      <c r="D4" s="2" t="str">
        <f t="shared" si="0"/>
        <v/>
      </c>
      <c r="E4" s="3"/>
      <c r="F4" s="3"/>
      <c r="G4" s="3"/>
      <c r="H4" s="3"/>
    </row>
    <row r="5" spans="1:8" ht="14.45">
      <c r="A5" s="3"/>
      <c r="B5" s="3"/>
      <c r="C5" s="3"/>
      <c r="D5" s="2" t="str">
        <f t="shared" si="0"/>
        <v/>
      </c>
      <c r="E5" s="3"/>
      <c r="F5" s="3"/>
      <c r="G5" s="3"/>
      <c r="H5" s="3"/>
    </row>
    <row r="6" spans="1:8" ht="14.45">
      <c r="A6" s="3"/>
      <c r="B6" s="3"/>
      <c r="C6" s="3"/>
      <c r="D6" s="2" t="str">
        <f t="shared" si="0"/>
        <v/>
      </c>
      <c r="E6" s="3"/>
      <c r="F6" s="3"/>
      <c r="G6" s="3"/>
      <c r="H6" s="3"/>
    </row>
    <row r="7" spans="1:8" ht="14.45">
      <c r="A7" s="3"/>
      <c r="B7" s="3"/>
      <c r="C7" s="3"/>
      <c r="D7" s="2" t="str">
        <f t="shared" si="0"/>
        <v/>
      </c>
      <c r="E7" s="3"/>
      <c r="F7" s="3"/>
      <c r="G7" s="3"/>
      <c r="H7" s="3"/>
    </row>
    <row r="8" spans="1:8" ht="14.45">
      <c r="A8" s="3"/>
      <c r="B8" s="3"/>
      <c r="C8" s="3"/>
      <c r="D8" s="2" t="str">
        <f t="shared" si="0"/>
        <v/>
      </c>
      <c r="E8" s="3"/>
      <c r="F8" s="3"/>
      <c r="G8" s="3"/>
      <c r="H8" s="3"/>
    </row>
    <row r="9" spans="1:8" ht="14.45">
      <c r="A9" s="3"/>
      <c r="B9" s="3"/>
      <c r="C9" s="3"/>
      <c r="D9" s="2" t="str">
        <f t="shared" si="0"/>
        <v/>
      </c>
      <c r="E9" s="3"/>
      <c r="F9" s="3"/>
      <c r="G9" s="3"/>
      <c r="H9" s="3"/>
    </row>
    <row r="10" spans="1:8" ht="14.45">
      <c r="A10" s="3"/>
      <c r="B10" s="3"/>
      <c r="C10" s="3"/>
      <c r="D10" s="2" t="str">
        <f t="shared" si="0"/>
        <v/>
      </c>
      <c r="E10" s="3"/>
      <c r="F10" s="3"/>
      <c r="G10" s="3"/>
      <c r="H10" s="3"/>
    </row>
    <row r="11" spans="1:8" ht="14.45">
      <c r="A11" s="3"/>
      <c r="B11" s="3"/>
      <c r="C11" s="3"/>
      <c r="D11" s="2" t="str">
        <f t="shared" si="0"/>
        <v/>
      </c>
      <c r="E11" s="3"/>
      <c r="F11" s="3"/>
      <c r="G11" s="3"/>
      <c r="H11" s="3"/>
    </row>
    <row r="12" spans="1:8" ht="14.45">
      <c r="A12" s="3"/>
      <c r="B12" s="3"/>
      <c r="C12" s="3"/>
      <c r="D12" s="2" t="str">
        <f t="shared" si="0"/>
        <v/>
      </c>
      <c r="E12" s="3"/>
      <c r="F12" s="3"/>
      <c r="G12" s="3"/>
      <c r="H12" s="3"/>
    </row>
    <row r="13" spans="1:8" ht="14.45">
      <c r="A13" s="3"/>
      <c r="B13" s="3"/>
      <c r="C13" s="3"/>
      <c r="D13" s="2" t="str">
        <f t="shared" si="0"/>
        <v/>
      </c>
      <c r="E13" s="3"/>
      <c r="F13" s="3"/>
      <c r="G13" s="3"/>
      <c r="H13" s="3"/>
    </row>
    <row r="14" spans="1:8" ht="14.45">
      <c r="A14" s="3"/>
      <c r="B14" s="3"/>
      <c r="C14" s="3"/>
      <c r="D14" s="2" t="str">
        <f t="shared" si="0"/>
        <v/>
      </c>
      <c r="E14" s="3"/>
      <c r="F14" s="3"/>
      <c r="G14" s="3"/>
      <c r="H14" s="3"/>
    </row>
    <row r="15" spans="1:8" ht="14.45">
      <c r="A15" s="3"/>
      <c r="B15" s="3"/>
      <c r="C15" s="3"/>
      <c r="D15" s="2" t="str">
        <f t="shared" si="0"/>
        <v/>
      </c>
      <c r="E15" s="3"/>
      <c r="F15" s="3"/>
      <c r="G15" s="3"/>
      <c r="H15" s="3"/>
    </row>
    <row r="16" spans="1:8" ht="14.45">
      <c r="A16" s="3"/>
      <c r="B16" s="3"/>
      <c r="C16" s="3"/>
      <c r="D16" s="2" t="str">
        <f t="shared" si="0"/>
        <v/>
      </c>
      <c r="E16" s="3"/>
      <c r="F16" s="3"/>
      <c r="G16" s="3"/>
      <c r="H16" s="3"/>
    </row>
    <row r="17" spans="1:8" ht="14.45">
      <c r="A17" s="3"/>
      <c r="B17" s="3"/>
      <c r="C17" s="3"/>
      <c r="D17" s="2" t="str">
        <f t="shared" si="0"/>
        <v/>
      </c>
      <c r="E17" s="3"/>
      <c r="F17" s="3"/>
      <c r="G17" s="3"/>
      <c r="H17" s="3"/>
    </row>
    <row r="18" spans="1:8" ht="14.45">
      <c r="A18" s="3"/>
      <c r="B18" s="3"/>
      <c r="C18" s="3"/>
      <c r="D18" s="2" t="str">
        <f t="shared" si="0"/>
        <v/>
      </c>
      <c r="E18" s="3"/>
      <c r="F18" s="3"/>
      <c r="G18" s="3"/>
      <c r="H18" s="3"/>
    </row>
    <row r="19" spans="1:8" ht="14.45">
      <c r="A19" s="3"/>
      <c r="B19" s="3"/>
      <c r="C19" s="3"/>
      <c r="D19" s="2" t="str">
        <f t="shared" si="0"/>
        <v/>
      </c>
      <c r="E19" s="3"/>
      <c r="F19" s="3"/>
      <c r="G19" s="3"/>
      <c r="H19" s="3"/>
    </row>
    <row r="20" spans="1:8" ht="14.45">
      <c r="A20" s="3"/>
      <c r="B20" s="3"/>
      <c r="C20" s="3"/>
      <c r="D20" s="2" t="str">
        <f t="shared" si="0"/>
        <v/>
      </c>
      <c r="E20" s="3"/>
      <c r="F20" s="3"/>
      <c r="G20" s="3"/>
      <c r="H20" s="3"/>
    </row>
    <row r="21" spans="1:8" ht="14.45">
      <c r="A21" s="3"/>
      <c r="B21" s="3"/>
      <c r="C21" s="3"/>
      <c r="D21" s="2" t="str">
        <f t="shared" si="0"/>
        <v/>
      </c>
      <c r="E21" s="3"/>
      <c r="F21" s="3"/>
      <c r="G21" s="3"/>
      <c r="H21" s="3"/>
    </row>
    <row r="22" spans="1:8" ht="14.45">
      <c r="A22" s="3"/>
      <c r="B22" s="3"/>
      <c r="C22" s="3"/>
      <c r="D22" s="2" t="str">
        <f t="shared" si="0"/>
        <v/>
      </c>
      <c r="E22" s="3"/>
      <c r="F22" s="3"/>
      <c r="G22" s="3"/>
      <c r="H22" s="3"/>
    </row>
    <row r="23" spans="1:8" ht="14.45">
      <c r="A23" s="3"/>
      <c r="B23" s="3"/>
      <c r="C23" s="3"/>
      <c r="D23" s="2" t="str">
        <f t="shared" si="0"/>
        <v/>
      </c>
      <c r="E23" s="3"/>
      <c r="F23" s="3"/>
      <c r="G23" s="3"/>
      <c r="H23" s="3"/>
    </row>
    <row r="24" spans="1:8" ht="14.45">
      <c r="A24" s="3"/>
      <c r="B24" s="3"/>
      <c r="C24" s="3"/>
      <c r="D24" s="2" t="str">
        <f t="shared" si="0"/>
        <v/>
      </c>
      <c r="E24" s="3"/>
      <c r="F24" s="3"/>
      <c r="G24" s="3"/>
      <c r="H24" s="3"/>
    </row>
    <row r="25" spans="1:8" ht="14.45">
      <c r="A25" s="3"/>
      <c r="B25" s="3"/>
      <c r="C25" s="3"/>
      <c r="D25" s="2" t="str">
        <f t="shared" si="0"/>
        <v/>
      </c>
      <c r="E25" s="3"/>
      <c r="F25" s="3"/>
      <c r="G25" s="3"/>
      <c r="H25" s="3"/>
    </row>
    <row r="26" spans="1:8" ht="14.45">
      <c r="A26" s="3"/>
      <c r="B26" s="3"/>
      <c r="C26" s="3"/>
      <c r="D26" s="2" t="str">
        <f t="shared" si="0"/>
        <v/>
      </c>
      <c r="E26" s="3"/>
      <c r="F26" s="3"/>
      <c r="G26" s="3"/>
      <c r="H26" s="3"/>
    </row>
    <row r="27" spans="1:8" ht="14.45">
      <c r="A27" s="3"/>
      <c r="B27" s="3"/>
      <c r="C27" s="3"/>
      <c r="D27" s="2" t="str">
        <f t="shared" si="0"/>
        <v/>
      </c>
      <c r="E27" s="3"/>
      <c r="F27" s="3"/>
      <c r="G27" s="3"/>
      <c r="H27" s="3"/>
    </row>
    <row r="28" spans="1:8" ht="14.45">
      <c r="A28" s="3"/>
      <c r="B28" s="3"/>
      <c r="C28" s="3"/>
      <c r="D28" s="2" t="str">
        <f t="shared" si="0"/>
        <v/>
      </c>
      <c r="E28" s="3"/>
      <c r="F28" s="3"/>
      <c r="G28" s="3"/>
      <c r="H28" s="3"/>
    </row>
    <row r="29" spans="1:8" ht="14.45">
      <c r="A29" s="3"/>
      <c r="B29" s="3"/>
      <c r="C29" s="3"/>
      <c r="D29" s="2" t="str">
        <f t="shared" si="0"/>
        <v/>
      </c>
      <c r="E29" s="3"/>
      <c r="F29" s="3"/>
      <c r="G29" s="3"/>
      <c r="H29" s="3"/>
    </row>
    <row r="30" spans="1:8" ht="14.45">
      <c r="A30" s="3"/>
      <c r="B30" s="3"/>
      <c r="C30" s="3"/>
      <c r="D30" s="2" t="str">
        <f t="shared" si="0"/>
        <v/>
      </c>
      <c r="E30" s="3"/>
      <c r="F30" s="3"/>
      <c r="G30" s="3"/>
      <c r="H30" s="3"/>
    </row>
    <row r="31" spans="1:8" ht="14.45">
      <c r="A31" s="3"/>
      <c r="B31" s="3"/>
      <c r="C31" s="3"/>
      <c r="D31" s="2" t="str">
        <f t="shared" si="0"/>
        <v/>
      </c>
      <c r="E31" s="3"/>
      <c r="F31" s="3"/>
      <c r="G31" s="3"/>
      <c r="H31" s="3"/>
    </row>
    <row r="32" spans="1:8" ht="14.45">
      <c r="A32" s="3"/>
      <c r="B32" s="3"/>
      <c r="C32" s="3"/>
      <c r="D32" s="2" t="str">
        <f t="shared" si="0"/>
        <v/>
      </c>
      <c r="E32" s="3"/>
      <c r="F32" s="3"/>
      <c r="G32" s="3"/>
      <c r="H32" s="3"/>
    </row>
    <row r="33" spans="1:8" ht="14.45">
      <c r="A33" s="3"/>
      <c r="B33" s="3"/>
      <c r="C33" s="3"/>
      <c r="D33" s="2" t="str">
        <f t="shared" si="0"/>
        <v/>
      </c>
      <c r="E33" s="3"/>
      <c r="F33" s="3"/>
      <c r="G33" s="3"/>
      <c r="H33" s="3"/>
    </row>
    <row r="34" spans="1:8" ht="14.45">
      <c r="A34" s="3"/>
      <c r="B34" s="3"/>
      <c r="C34" s="3"/>
      <c r="D34" s="2" t="str">
        <f t="shared" si="0"/>
        <v/>
      </c>
      <c r="E34" s="3"/>
      <c r="F34" s="3"/>
      <c r="G34" s="3"/>
      <c r="H34" s="3"/>
    </row>
    <row r="35" spans="1:8" ht="14.45">
      <c r="A35" s="3"/>
      <c r="B35" s="3"/>
      <c r="C35" s="3"/>
      <c r="D35" s="2" t="str">
        <f t="shared" si="0"/>
        <v/>
      </c>
      <c r="E35" s="3"/>
      <c r="F35" s="3"/>
      <c r="G35" s="3"/>
      <c r="H35" s="3"/>
    </row>
    <row r="36" spans="1:8" ht="14.45">
      <c r="A36" s="3"/>
      <c r="B36" s="3"/>
      <c r="C36" s="3"/>
      <c r="D36" s="2" t="str">
        <f t="shared" si="0"/>
        <v/>
      </c>
      <c r="E36" s="3"/>
      <c r="F36" s="3"/>
      <c r="G36" s="3"/>
      <c r="H36" s="3"/>
    </row>
    <row r="37" spans="1:8" ht="14.45">
      <c r="A37" s="3"/>
      <c r="B37" s="3"/>
      <c r="C37" s="3"/>
      <c r="D37" s="2" t="str">
        <f t="shared" si="0"/>
        <v/>
      </c>
      <c r="E37" s="3"/>
      <c r="F37" s="3"/>
      <c r="G37" s="3"/>
      <c r="H37" s="3"/>
    </row>
    <row r="38" spans="1:8" ht="14.45">
      <c r="A38" s="3"/>
      <c r="B38" s="3"/>
      <c r="C38" s="3"/>
      <c r="D38" s="2" t="str">
        <f t="shared" si="0"/>
        <v/>
      </c>
      <c r="E38" s="3"/>
      <c r="F38" s="3"/>
      <c r="G38" s="3"/>
      <c r="H38" s="3"/>
    </row>
    <row r="39" spans="1:8" ht="14.45">
      <c r="A39" s="3"/>
      <c r="B39" s="3"/>
      <c r="C39" s="3"/>
      <c r="D39" s="2" t="str">
        <f t="shared" si="0"/>
        <v/>
      </c>
      <c r="E39" s="3"/>
      <c r="F39" s="3"/>
      <c r="G39" s="3"/>
      <c r="H39" s="3"/>
    </row>
    <row r="40" spans="1:8" ht="14.45">
      <c r="A40" s="3"/>
      <c r="B40" s="3"/>
      <c r="C40" s="3"/>
      <c r="D40" s="2" t="str">
        <f t="shared" si="0"/>
        <v/>
      </c>
      <c r="E40" s="3"/>
      <c r="F40" s="3"/>
      <c r="G40" s="3"/>
      <c r="H40" s="3"/>
    </row>
    <row r="41" spans="1:8" ht="14.45">
      <c r="A41" s="3"/>
      <c r="B41" s="3"/>
      <c r="C41" s="3"/>
      <c r="D41" s="2" t="str">
        <f t="shared" si="0"/>
        <v/>
      </c>
      <c r="E41" s="3"/>
      <c r="F41" s="3"/>
      <c r="G41" s="3"/>
      <c r="H41" s="3"/>
    </row>
    <row r="42" spans="1:8" ht="14.45">
      <c r="A42" s="3"/>
      <c r="B42" s="3"/>
      <c r="C42" s="3"/>
      <c r="D42" s="2" t="str">
        <f t="shared" si="0"/>
        <v/>
      </c>
      <c r="E42" s="3"/>
      <c r="F42" s="3"/>
      <c r="G42" s="3"/>
      <c r="H42" s="3"/>
    </row>
    <row r="43" spans="1:8" ht="14.45">
      <c r="A43" s="3"/>
      <c r="B43" s="3"/>
      <c r="C43" s="3"/>
      <c r="D43" s="2" t="str">
        <f t="shared" si="0"/>
        <v/>
      </c>
      <c r="E43" s="3"/>
      <c r="F43" s="3"/>
      <c r="G43" s="3"/>
      <c r="H43" s="3"/>
    </row>
    <row r="44" spans="1:8" ht="14.45">
      <c r="A44" s="3"/>
      <c r="B44" s="3"/>
      <c r="C44" s="3"/>
      <c r="D44" s="2" t="str">
        <f t="shared" si="0"/>
        <v/>
      </c>
      <c r="E44" s="3"/>
      <c r="F44" s="3"/>
      <c r="G44" s="3"/>
      <c r="H44" s="3"/>
    </row>
    <row r="45" spans="1:8" ht="14.45">
      <c r="A45" s="3"/>
      <c r="B45" s="3"/>
      <c r="C45" s="3"/>
      <c r="D45" s="2" t="str">
        <f t="shared" si="0"/>
        <v/>
      </c>
      <c r="E45" s="3"/>
      <c r="F45" s="3"/>
      <c r="G45" s="3"/>
      <c r="H45" s="3"/>
    </row>
    <row r="46" spans="1:8" ht="14.45">
      <c r="A46" s="3"/>
      <c r="B46" s="3"/>
      <c r="C46" s="3"/>
      <c r="D46" s="2" t="str">
        <f t="shared" si="0"/>
        <v/>
      </c>
      <c r="E46" s="3"/>
      <c r="F46" s="3"/>
      <c r="G46" s="3"/>
      <c r="H46" s="3"/>
    </row>
    <row r="47" spans="1:8" ht="14.45">
      <c r="A47" s="3"/>
      <c r="B47" s="3"/>
      <c r="C47" s="3"/>
      <c r="D47" s="2" t="str">
        <f t="shared" si="0"/>
        <v/>
      </c>
      <c r="E47" s="3"/>
      <c r="F47" s="3"/>
      <c r="G47" s="3"/>
      <c r="H47" s="3"/>
    </row>
    <row r="48" spans="1:8" ht="14.45">
      <c r="A48" s="3"/>
      <c r="B48" s="3"/>
      <c r="C48" s="3"/>
      <c r="D48" s="2" t="str">
        <f t="shared" si="0"/>
        <v/>
      </c>
      <c r="E48" s="3"/>
      <c r="F48" s="3"/>
      <c r="G48" s="3"/>
      <c r="H48" s="3"/>
    </row>
    <row r="49" spans="1:8" ht="14.45">
      <c r="A49" s="3"/>
      <c r="B49" s="3"/>
      <c r="C49" s="3"/>
      <c r="D49" s="2" t="str">
        <f t="shared" si="0"/>
        <v/>
      </c>
      <c r="E49" s="3"/>
      <c r="F49" s="3"/>
      <c r="G49" s="3"/>
      <c r="H49" s="3"/>
    </row>
    <row r="50" spans="1:8" ht="14.45">
      <c r="A50" s="3"/>
      <c r="B50" s="3"/>
      <c r="C50" s="3"/>
      <c r="D50" s="2" t="str">
        <f t="shared" si="0"/>
        <v/>
      </c>
      <c r="E50" s="3"/>
      <c r="F50" s="3"/>
      <c r="G50" s="3"/>
      <c r="H50" s="3"/>
    </row>
    <row r="51" spans="1:8" ht="14.45">
      <c r="A51" s="3"/>
      <c r="B51" s="3"/>
      <c r="C51" s="3"/>
      <c r="D51" s="2" t="str">
        <f t="shared" si="0"/>
        <v/>
      </c>
      <c r="E51" s="3"/>
      <c r="F51" s="3"/>
      <c r="G51" s="3"/>
      <c r="H51" s="3"/>
    </row>
    <row r="52" spans="1:8" ht="14.45">
      <c r="A52" s="3"/>
      <c r="B52" s="3"/>
      <c r="C52" s="3"/>
      <c r="D52" s="2" t="str">
        <f t="shared" si="0"/>
        <v/>
      </c>
      <c r="E52" s="3"/>
      <c r="F52" s="3"/>
      <c r="G52" s="3"/>
      <c r="H52" s="3"/>
    </row>
    <row r="53" spans="1:8" ht="14.45">
      <c r="A53" s="3"/>
      <c r="B53" s="3"/>
      <c r="C53" s="3"/>
      <c r="D53" s="2" t="str">
        <f t="shared" si="0"/>
        <v/>
      </c>
      <c r="E53" s="3"/>
      <c r="F53" s="3"/>
      <c r="G53" s="3"/>
      <c r="H53" s="3"/>
    </row>
    <row r="54" spans="1:8" ht="14.45">
      <c r="A54" s="3"/>
      <c r="B54" s="3"/>
      <c r="C54" s="3"/>
      <c r="D54" s="2" t="str">
        <f t="shared" si="0"/>
        <v/>
      </c>
      <c r="E54" s="3"/>
      <c r="F54" s="3"/>
      <c r="G54" s="3"/>
      <c r="H54" s="3"/>
    </row>
    <row r="55" spans="1:8" ht="14.45">
      <c r="A55" s="3"/>
      <c r="B55" s="3"/>
      <c r="C55" s="3"/>
      <c r="D55" s="2" t="str">
        <f t="shared" si="0"/>
        <v/>
      </c>
      <c r="E55" s="3"/>
      <c r="F55" s="3"/>
      <c r="G55" s="3"/>
      <c r="H55" s="3"/>
    </row>
    <row r="56" spans="1:8" ht="14.45">
      <c r="A56" s="3"/>
      <c r="B56" s="3"/>
      <c r="C56" s="3"/>
      <c r="D56" s="2" t="str">
        <f t="shared" si="0"/>
        <v/>
      </c>
      <c r="E56" s="3"/>
      <c r="F56" s="3"/>
      <c r="G56" s="3"/>
      <c r="H56" s="3"/>
    </row>
    <row r="57" spans="1:8" ht="14.45">
      <c r="A57" s="3"/>
      <c r="B57" s="3"/>
      <c r="C57" s="3"/>
      <c r="D57" s="2" t="str">
        <f t="shared" si="0"/>
        <v/>
      </c>
      <c r="E57" s="3"/>
      <c r="F57" s="3"/>
      <c r="G57" s="3"/>
      <c r="H57" s="3"/>
    </row>
    <row r="58" spans="1:8" ht="14.45">
      <c r="A58" s="3"/>
      <c r="B58" s="3"/>
      <c r="C58" s="3"/>
      <c r="D58" s="2" t="str">
        <f t="shared" si="0"/>
        <v/>
      </c>
      <c r="E58" s="3"/>
      <c r="F58" s="3"/>
      <c r="G58" s="3"/>
      <c r="H58" s="3"/>
    </row>
    <row r="59" spans="1:8" ht="14.45">
      <c r="A59" s="3"/>
      <c r="B59" s="3"/>
      <c r="C59" s="3"/>
      <c r="D59" s="2" t="str">
        <f t="shared" si="0"/>
        <v/>
      </c>
      <c r="E59" s="3"/>
      <c r="F59" s="3"/>
      <c r="G59" s="3"/>
      <c r="H59" s="3"/>
    </row>
    <row r="60" spans="1:8" ht="14.45">
      <c r="A60" s="3"/>
      <c r="B60" s="3"/>
      <c r="C60" s="3"/>
      <c r="D60" s="2" t="str">
        <f t="shared" si="0"/>
        <v/>
      </c>
      <c r="E60" s="3"/>
      <c r="F60" s="3"/>
      <c r="G60" s="3"/>
      <c r="H60" s="3"/>
    </row>
    <row r="62" spans="1:8" ht="14.45" hidden="1">
      <c r="B62" s="5" t="s">
        <v>14</v>
      </c>
    </row>
    <row r="63" spans="1:8" ht="14.45" hidden="1">
      <c r="B63" s="6"/>
    </row>
    <row r="64" spans="1:8" ht="14.45" hidden="1">
      <c r="B64" s="7" t="s">
        <v>34</v>
      </c>
    </row>
    <row r="65" spans="2:2" ht="15.75" hidden="1" customHeight="1">
      <c r="B65" s="7" t="s">
        <v>38</v>
      </c>
    </row>
    <row r="66" spans="2:2" ht="14.45" hidden="1">
      <c r="B66" s="10" t="s">
        <v>36</v>
      </c>
    </row>
  </sheetData>
  <sheetProtection formatRows="0" insertRows="0"/>
  <conditionalFormatting sqref="D2:D60">
    <cfRule type="expression" dxfId="3" priority="4">
      <formula>OR($B2=media_trans,$B2=vid_aud_desc,$B2=vid_no_aud,$B2=media_text_alt)</formula>
    </cfRule>
  </conditionalFormatting>
  <conditionalFormatting sqref="F2:F60">
    <cfRule type="expression" dxfId="2" priority="1">
      <formula>OR($B2=vid_no_aud,$B2=media_text_alt)</formula>
    </cfRule>
  </conditionalFormatting>
  <conditionalFormatting sqref="G2:H60">
    <cfRule type="expression" dxfId="1" priority="3">
      <formula>OR($B2=media_trans,$B2=vid_no_aud,$B2=media_text_alt)</formula>
    </cfRule>
  </conditionalFormatting>
  <conditionalFormatting sqref="H2:H60">
    <cfRule type="expression" dxfId="0" priority="2">
      <formula>OR($B2=vid_aud_desc,$B2=media_text_alt)</formula>
    </cfRule>
  </conditionalFormatting>
  <dataValidations xWindow="1175" yWindow="314" count="11">
    <dataValidation type="textLength" errorStyle="warning" operator="lessThan" allowBlank="1" showInputMessage="1" showErrorMessage="1" errorTitle="alt-text" sqref="C2:C19" xr:uid="{00000000-0002-0000-0300-000001000000}">
      <formula1>251</formula1>
    </dataValidation>
    <dataValidation allowBlank="1" showInputMessage="1" showErrorMessage="1" promptTitle="Video or Audio file number" prompt="Enter the video or audio unique number in the article(e.g. Video 3.2, Audio 1.7). " sqref="A1" xr:uid="{00000000-0002-0000-0300-000002000000}"/>
    <dataValidation allowBlank="1" showInputMessage="1" showErrorMessage="1" promptTitle="Type" prompt="Please select from the list. This is required to confirm which other content is needed for the video or audio file." sqref="B1" xr:uid="{00000000-0002-0000-0300-000003000000}"/>
    <dataValidation allowBlank="1" showInputMessage="1" showErrorMessage="1" promptTitle="alt-text" prompt="The alt-text is a short description up to 250 characters. The 'alt-text count' is to help meet this requirement.  The alt-text should not repeat the 'Caption'." sqref="C1" xr:uid="{00000000-0002-0000-0300-000005000000}"/>
    <dataValidation allowBlank="1" showInputMessage="1" showErrorMessage="1" promptTitle="Media file name" prompt="Please enter the file name with extension. For videos and audio, mp4 files are required." sqref="E1" xr:uid="{00000000-0002-0000-0300-000006000000}"/>
    <dataValidation allowBlank="1" showInputMessage="1" showErrorMessage="1" promptTitle="VTT captions" prompt="Closed captions are required. VTT file names should be '&lt;Media file name&gt;-&lt;language-code&gt;.vtt'. Please list all files, showing which is the default 'main' file." sqref="F1" xr:uid="{00000000-0002-0000-0300-000007000000}"/>
    <dataValidation allowBlank="1" showInputMessage="1" showErrorMessage="1" promptTitle="Audio description file" prompt="This includes dialogue, details of actions, characters, visual changes, on-screen text etc. i.e. adding content not described or spoken in the main sound track.  Please add file name in the form of  '&lt;Media file name&gt;.mp3'." sqref="G1" xr:uid="{00000000-0002-0000-0300-000009000000}"/>
    <dataValidation allowBlank="1" showInputMessage="1" showErrorMessage="1" promptTitle="alt-text character count" prompt="This should up to 250 characters." sqref="D1" xr:uid="{00000000-0002-0000-0300-00000A000000}"/>
    <dataValidation type="textLength" errorStyle="warning" operator="lessThan" allowBlank="1" showInputMessage="1" showErrorMessage="1" errorTitle="alt-text" error="This should be up to 250 characters." sqref="C20:C60" xr:uid="{00000000-0002-0000-0300-00000B000000}">
      <formula1>251</formula1>
    </dataValidation>
    <dataValidation type="list" allowBlank="1" showInputMessage="1" showErrorMessage="1" sqref="B2:B60" xr:uid="{00000000-0002-0000-0300-000000000000}">
      <formula1>$B$63:$B$66</formula1>
    </dataValidation>
    <dataValidation allowBlank="1" showInputMessage="1" showErrorMessage="1" promptTitle="Transcript file(optional for video)" prompt="This is a text description of the video or audio file that includes all content i.e. dialogue, details of actions, characters, visual changes, on-screen text etc." sqref="H1" xr:uid="{2F2D8A82-6C02-4D43-BF03-0122F14CDE75}"/>
  </dataValidations>
  <pageMargins left="0.7" right="0.7" top="0.75" bottom="0.75" header="0.3" footer="0.3"/>
  <pageSetup paperSize="9" orientation="portrait" horizontalDpi="4294967293" verticalDpi="0"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66058c-3e6b-4e16-ba1f-210a4c721550">
      <Terms xmlns="http://schemas.microsoft.com/office/infopath/2007/PartnerControls"/>
    </lcf76f155ced4ddcb4097134ff3c332f>
    <TaxCatchAll xmlns="7424b78e-8606-4fd1-9a19-b6b90bbc0a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B02EEE46B09A43947188FFB069E6BD" ma:contentTypeVersion="7" ma:contentTypeDescription="Create a new document." ma:contentTypeScope="" ma:versionID="b4fc5020d6d01c2f56cdbc52abf360f1">
  <xsd:schema xmlns:xsd="http://www.w3.org/2001/XMLSchema" xmlns:xs="http://www.w3.org/2001/XMLSchema" xmlns:p="http://schemas.microsoft.com/office/2006/metadata/properties" xmlns:ns2="4fbc17a9-1596-4417-bc88-f224975d8a5b" xmlns:ns3="bb66058c-3e6b-4e16-ba1f-210a4c721550" xmlns:ns4="7424b78e-8606-4fd1-9a19-b6b90bbc0a1b" targetNamespace="http://schemas.microsoft.com/office/2006/metadata/properties" ma:root="true" ma:fieldsID="0039e1049c91e7a24c533bbfe5e804d6" ns2:_="" ns3:_="" ns4:_="">
    <xsd:import namespace="4fbc17a9-1596-4417-bc88-f224975d8a5b"/>
    <xsd:import namespace="bb66058c-3e6b-4e16-ba1f-210a4c721550"/>
    <xsd:import namespace="7424b78e-8606-4fd1-9a19-b6b90bbc0a1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MediaLengthInSeconds" minOccurs="0"/>
                <xsd:element ref="ns3:MediaServiceObjectDetectorVersions" minOccurs="0"/>
                <xsd:element ref="ns3:MediaServiceSearchPropertie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c17a9-1596-4417-bc88-f224975d8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66058c-3e6b-4e16-ba1f-210a4c721550" elementFormDefault="qualified">
    <xsd:import namespace="http://schemas.microsoft.com/office/2006/documentManagement/types"/>
    <xsd:import namespace="http://schemas.microsoft.com/office/infopath/2007/PartnerControls"/>
    <xsd:element name="MediaLengthInSeconds" ma:index="17" nillable="true" ma:displayName="Length (seconds)"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7882c5b-1fc0-4c64-8edd-3b527906c47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24b78e-8606-4fd1-9a19-b6b90bbc0a1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0672906c-fb09-4a62-8a8e-4371be0a7ca7}" ma:internalName="TaxCatchAll" ma:showField="CatchAllData" ma:web="ca645f8a-364e-4828-94c0-6ee427c500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C06D11-7286-4946-BA9D-EA7523DB45FA}"/>
</file>

<file path=customXml/itemProps2.xml><?xml version="1.0" encoding="utf-8"?>
<ds:datastoreItem xmlns:ds="http://schemas.openxmlformats.org/officeDocument/2006/customXml" ds:itemID="{B037F86B-8140-411A-A180-41783C97E1B5}"/>
</file>

<file path=customXml/itemProps3.xml><?xml version="1.0" encoding="utf-8"?>
<ds:datastoreItem xmlns:ds="http://schemas.openxmlformats.org/officeDocument/2006/customXml" ds:itemID="{A785CCE9-AD03-4070-895D-81864B881555}"/>
</file>

<file path=docProps/app.xml><?xml version="1.0" encoding="utf-8"?>
<Properties xmlns="http://schemas.openxmlformats.org/officeDocument/2006/extended-properties" xmlns:vt="http://schemas.openxmlformats.org/officeDocument/2006/docPropsVTypes">
  <Application>Microsoft Excel Online</Application>
  <Manager/>
  <Company>Cambridge University Press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 Turton</dc:creator>
  <cp:keywords/>
  <dc:description/>
  <cp:lastModifiedBy>Jack Pendred</cp:lastModifiedBy>
  <cp:revision/>
  <dcterms:created xsi:type="dcterms:W3CDTF">2024-11-21T16:33:45Z</dcterms:created>
  <dcterms:modified xsi:type="dcterms:W3CDTF">2026-10-13T10:13:17Z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0x010100A4B02EEE46B09A43947188FFB069E6BD</vt:lpwstr>
  </property>
  <property fmtid="{D5CDD505-2E9C-101B-9397-08002B2CF9AE}" pid="3" name="MediaServiceImageTags">
    <vt:lpwstr/>
  </property>
  <property fmtid="{D5CDD505-2E9C-101B-9397-08002B2CF9AE}" pid="4" name="DocumentType">
    <vt:lpwstr/>
  </property>
  <property fmtid="{D5CDD505-2E9C-101B-9397-08002B2CF9AE}" pid="5" name="Classification">
    <vt:lpwstr/>
  </property>
</Properties>
</file>